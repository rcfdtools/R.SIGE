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D:\R.SIGE\activity\Population\old\"/>
    </mc:Choice>
  </mc:AlternateContent>
  <xr:revisionPtr revIDLastSave="0" documentId="13_ncr:1_{FFA05F40-7EBF-4254-B46C-0BED94908F89}" xr6:coauthVersionLast="47" xr6:coauthVersionMax="47" xr10:uidLastSave="{00000000-0000-0000-0000-000000000000}"/>
  <bookViews>
    <workbookView xWindow="-98" yWindow="-98" windowWidth="28996" windowHeight="15675" tabRatio="769" activeTab="3" xr2:uid="{00000000-000D-0000-FFFF-FFFF00000000}"/>
  </bookViews>
  <sheets>
    <sheet name="Censal" sheetId="2" r:id="rId1"/>
    <sheet name="CensalChart" sheetId="7" r:id="rId2"/>
    <sheet name="DinamicaDemografica" sheetId="5" r:id="rId3"/>
    <sheet name="ProyectadaTotal" sheetId="4" r:id="rId4"/>
    <sheet name="ProyectadaTotalChart" sheetId="8" r:id="rId5"/>
    <sheet name="PoblacionGIS" sheetId="6" r:id="rId6"/>
    <sheet name="PoblacionGISChart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E21" i="4"/>
  <c r="E20" i="4"/>
  <c r="Q25" i="4"/>
  <c r="Q24" i="4"/>
  <c r="Q23" i="4"/>
  <c r="Q22" i="4"/>
  <c r="Q21" i="4"/>
  <c r="Q20" i="4"/>
  <c r="Q19" i="4"/>
  <c r="D6" i="6"/>
  <c r="C6" i="6"/>
  <c r="B6" i="6"/>
  <c r="A6" i="6"/>
  <c r="R11" i="4"/>
  <c r="Q11" i="4"/>
  <c r="P11" i="4"/>
  <c r="P35" i="4"/>
  <c r="P34" i="4"/>
  <c r="P33" i="4"/>
  <c r="P32" i="4"/>
  <c r="P31" i="4"/>
  <c r="S35" i="4"/>
  <c r="R35" i="4"/>
  <c r="Q35" i="4"/>
  <c r="S34" i="4"/>
  <c r="R34" i="4"/>
  <c r="Q34" i="4"/>
  <c r="S33" i="4"/>
  <c r="R33" i="4"/>
  <c r="Q33" i="4"/>
  <c r="S32" i="4"/>
  <c r="R32" i="4"/>
  <c r="Q32" i="4"/>
  <c r="S31" i="4"/>
  <c r="R31" i="4"/>
  <c r="Q31" i="4"/>
  <c r="C14" i="5"/>
  <c r="B20" i="4"/>
  <c r="C19" i="4"/>
  <c r="Q7" i="4"/>
  <c r="Q6" i="4"/>
  <c r="Q5" i="4"/>
  <c r="Q4" i="4"/>
  <c r="Q10" i="4" s="1"/>
  <c r="S7" i="4"/>
  <c r="S6" i="4"/>
  <c r="S5" i="4"/>
  <c r="S4" i="4"/>
  <c r="R7" i="4"/>
  <c r="R6" i="4"/>
  <c r="R5" i="4"/>
  <c r="R4" i="4"/>
  <c r="R10" i="4" s="1"/>
  <c r="P7" i="4"/>
  <c r="P6" i="4"/>
  <c r="P5" i="4"/>
  <c r="Q18" i="4"/>
  <c r="P4" i="4"/>
  <c r="D19" i="4"/>
  <c r="D20" i="4" s="1"/>
  <c r="D21" i="4" s="1"/>
  <c r="D22" i="4" s="1"/>
  <c r="D23" i="4" s="1"/>
  <c r="D24" i="4" s="1"/>
  <c r="D25" i="4" s="1"/>
  <c r="D26" i="4" s="1"/>
  <c r="D27" i="4" s="1"/>
  <c r="D28" i="4" s="1"/>
  <c r="P10" i="4" l="1"/>
  <c r="S10" i="4"/>
  <c r="O19" i="4"/>
  <c r="O20" i="4" s="1"/>
  <c r="T19" i="4" l="1"/>
  <c r="T32" i="4"/>
  <c r="T34" i="4"/>
  <c r="T33" i="4"/>
  <c r="T31" i="4"/>
  <c r="T35" i="4"/>
  <c r="O21" i="4"/>
  <c r="T21" i="4" s="1"/>
  <c r="T20" i="4"/>
  <c r="S19" i="4"/>
  <c r="R19" i="4"/>
  <c r="R20" i="4"/>
  <c r="S20" i="4"/>
  <c r="S11" i="4" l="1"/>
  <c r="R21" i="4"/>
  <c r="S21" i="4"/>
  <c r="O22" i="4"/>
  <c r="S22" i="4" s="1"/>
  <c r="S12" i="4" l="1"/>
  <c r="R12" i="4"/>
  <c r="Q12" i="4"/>
  <c r="P12" i="4"/>
  <c r="R22" i="4"/>
  <c r="O23" i="4"/>
  <c r="T22" i="4"/>
  <c r="T23" i="4" l="1"/>
  <c r="S23" i="4"/>
  <c r="R23" i="4"/>
  <c r="O24" i="4"/>
  <c r="T24" i="4" l="1"/>
  <c r="O25" i="4"/>
  <c r="S24" i="4"/>
  <c r="R24" i="4"/>
  <c r="T25" i="4" l="1"/>
  <c r="R25" i="4"/>
  <c r="S25" i="4"/>
  <c r="O26" i="4"/>
  <c r="T26" i="4" l="1"/>
  <c r="Q26" i="4"/>
  <c r="S26" i="4"/>
  <c r="O27" i="4"/>
  <c r="R26" i="4"/>
  <c r="T27" i="4" l="1"/>
  <c r="Q27" i="4"/>
  <c r="O28" i="4"/>
  <c r="S27" i="4"/>
  <c r="R27" i="4"/>
  <c r="T28" i="4" l="1"/>
  <c r="O29" i="4"/>
  <c r="R28" i="4"/>
  <c r="Q28" i="4"/>
  <c r="S28" i="4"/>
  <c r="T29" i="4" l="1"/>
  <c r="Q29" i="4"/>
  <c r="S29" i="4"/>
  <c r="R29" i="4"/>
  <c r="D6" i="5" l="1"/>
  <c r="M18" i="4"/>
  <c r="L18" i="4"/>
  <c r="K18" i="4"/>
  <c r="J18" i="4"/>
  <c r="I18" i="4"/>
  <c r="H18" i="4"/>
  <c r="G18" i="4"/>
  <c r="F18" i="4"/>
  <c r="E18" i="4"/>
  <c r="B34" i="4"/>
  <c r="A9" i="6"/>
  <c r="A8" i="6"/>
  <c r="A2" i="6"/>
  <c r="B2" i="6"/>
  <c r="C2" i="6"/>
  <c r="D2" i="6"/>
  <c r="C3" i="6"/>
  <c r="D3" i="6"/>
  <c r="C4" i="6"/>
  <c r="D4" i="6"/>
  <c r="C5" i="6"/>
  <c r="D5" i="6"/>
  <c r="C7" i="6"/>
  <c r="D7" i="6"/>
  <c r="D1" i="6"/>
  <c r="B1" i="6"/>
  <c r="C1" i="6"/>
  <c r="A1" i="6"/>
  <c r="F9" i="5"/>
  <c r="C9" i="5"/>
  <c r="M11" i="4" a="1"/>
  <c r="M11" i="4" s="1"/>
  <c r="M5" i="4" a="1"/>
  <c r="M5" i="4" s="1"/>
  <c r="M4" i="4" a="1"/>
  <c r="M4" i="4" s="1"/>
  <c r="L11" i="4" a="1"/>
  <c r="L11" i="4" s="1"/>
  <c r="L5" i="4" a="1"/>
  <c r="L5" i="4" s="1"/>
  <c r="L4" i="4" a="1"/>
  <c r="L4" i="4" s="1"/>
  <c r="K11" i="4" a="1"/>
  <c r="K11" i="4" s="1"/>
  <c r="K5" i="4" a="1"/>
  <c r="K5" i="4" s="1"/>
  <c r="K4" i="4" a="1"/>
  <c r="K4" i="4" s="1"/>
  <c r="J11" i="4" a="1"/>
  <c r="J11" i="4" s="1"/>
  <c r="J10" i="4" a="1"/>
  <c r="J10" i="4" s="1"/>
  <c r="J9" i="4" a="1"/>
  <c r="J9" i="4" s="1"/>
  <c r="J8" i="4" a="1"/>
  <c r="J8" i="4" s="1"/>
  <c r="J7" i="4" a="1"/>
  <c r="J7" i="4" s="1"/>
  <c r="J6" i="4" a="1"/>
  <c r="J6" i="4" s="1"/>
  <c r="J5" i="4" a="1"/>
  <c r="J5" i="4" s="1"/>
  <c r="J4" i="4" a="1"/>
  <c r="J4" i="4" s="1"/>
  <c r="I11" i="4" a="1"/>
  <c r="I11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H11" i="4" a="1"/>
  <c r="H11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G11" i="4" a="1"/>
  <c r="G11" i="4" s="1"/>
  <c r="G7" i="4" a="1"/>
  <c r="G7" i="4" s="1"/>
  <c r="G6" i="4" a="1"/>
  <c r="G6" i="4" s="1"/>
  <c r="G5" i="4" a="1"/>
  <c r="G5" i="4" s="1"/>
  <c r="G4" i="4" a="1"/>
  <c r="G4" i="4" s="1"/>
  <c r="F6" i="4" a="1"/>
  <c r="F6" i="4" s="1"/>
  <c r="F5" i="4" a="1"/>
  <c r="F5" i="4" s="1"/>
  <c r="F11" i="4" a="1"/>
  <c r="F11" i="4" s="1"/>
  <c r="F4" i="4" a="1"/>
  <c r="F4" i="4" s="1"/>
  <c r="E11" i="4" a="1"/>
  <c r="E11" i="4" s="1"/>
  <c r="E5" i="4" a="1"/>
  <c r="E5" i="4" s="1"/>
  <c r="E4" i="4" a="1"/>
  <c r="E4" i="4" s="1"/>
  <c r="E19" i="4" s="1"/>
  <c r="B21" i="4" l="1"/>
  <c r="C12" i="5"/>
  <c r="H12" i="4"/>
  <c r="J12" i="4"/>
  <c r="G12" i="4"/>
  <c r="I12" i="4"/>
  <c r="K12" i="4"/>
  <c r="L12" i="4"/>
  <c r="F12" i="4"/>
  <c r="M12" i="4"/>
  <c r="E12" i="4"/>
  <c r="C20" i="4"/>
  <c r="B9" i="6" s="1"/>
  <c r="C21" i="4"/>
  <c r="B10" i="6" s="1"/>
  <c r="C22" i="4"/>
  <c r="B11" i="6" s="1"/>
  <c r="C23" i="4"/>
  <c r="B12" i="6" s="1"/>
  <c r="C24" i="4"/>
  <c r="B13" i="6" s="1"/>
  <c r="C25" i="4"/>
  <c r="B14" i="6" s="1"/>
  <c r="C26" i="4"/>
  <c r="B15" i="6" s="1"/>
  <c r="C27" i="4"/>
  <c r="B16" i="6" s="1"/>
  <c r="C28" i="4"/>
  <c r="B17" i="6" s="1"/>
  <c r="C29" i="4"/>
  <c r="B18" i="6" s="1"/>
  <c r="B8" i="6"/>
  <c r="A4" i="2"/>
  <c r="A4" i="6" s="1"/>
  <c r="B4" i="2"/>
  <c r="B4" i="6" s="1"/>
  <c r="A5" i="2"/>
  <c r="A5" i="6" s="1"/>
  <c r="B5" i="2"/>
  <c r="B5" i="6" s="1"/>
  <c r="A6" i="2"/>
  <c r="A7" i="6" s="1"/>
  <c r="B6" i="2"/>
  <c r="B7" i="6" s="1"/>
  <c r="B3" i="2"/>
  <c r="B3" i="6" s="1"/>
  <c r="A3" i="2"/>
  <c r="A3" i="6" s="1"/>
  <c r="A10" i="6" l="1"/>
  <c r="B22" i="4"/>
  <c r="F19" i="4"/>
  <c r="C8" i="6"/>
  <c r="F14" i="5"/>
  <c r="G17" i="5" s="1"/>
  <c r="G19" i="4"/>
  <c r="L19" i="4"/>
  <c r="C9" i="6"/>
  <c r="M19" i="4"/>
  <c r="K19" i="4"/>
  <c r="D8" i="6" s="1"/>
  <c r="H19" i="4"/>
  <c r="J19" i="4"/>
  <c r="I19" i="4"/>
  <c r="A11" i="6" l="1"/>
  <c r="B23" i="4"/>
  <c r="G18" i="5"/>
  <c r="G21" i="5"/>
  <c r="G22" i="5"/>
  <c r="G19" i="5"/>
  <c r="C10" i="6"/>
  <c r="G20" i="4"/>
  <c r="F20" i="4"/>
  <c r="K20" i="4"/>
  <c r="D9" i="6" s="1"/>
  <c r="M20" i="4"/>
  <c r="L20" i="4"/>
  <c r="J20" i="4"/>
  <c r="H20" i="4"/>
  <c r="I20" i="4"/>
  <c r="A12" i="6" l="1"/>
  <c r="B24" i="4"/>
  <c r="G23" i="5"/>
  <c r="G20" i="5"/>
  <c r="C11" i="6"/>
  <c r="G21" i="4"/>
  <c r="M21" i="4"/>
  <c r="K21" i="4"/>
  <c r="D10" i="6" s="1"/>
  <c r="L21" i="4"/>
  <c r="J21" i="4"/>
  <c r="H21" i="4"/>
  <c r="I21" i="4"/>
  <c r="F21" i="4"/>
  <c r="A13" i="6" l="1"/>
  <c r="B25" i="4"/>
  <c r="C12" i="6"/>
  <c r="G22" i="4"/>
  <c r="F22" i="4"/>
  <c r="M22" i="4"/>
  <c r="L22" i="4"/>
  <c r="K22" i="4"/>
  <c r="D11" i="6" s="1"/>
  <c r="J22" i="4"/>
  <c r="H22" i="4"/>
  <c r="I22" i="4"/>
  <c r="A14" i="6" l="1"/>
  <c r="B26" i="4"/>
  <c r="F23" i="4"/>
  <c r="L23" i="4"/>
  <c r="K23" i="4"/>
  <c r="D12" i="6" s="1"/>
  <c r="M23" i="4"/>
  <c r="J23" i="4"/>
  <c r="H23" i="4"/>
  <c r="I23" i="4"/>
  <c r="E23" i="4"/>
  <c r="G23" i="4"/>
  <c r="B27" i="4" l="1"/>
  <c r="A15" i="6"/>
  <c r="C13" i="6"/>
  <c r="L24" i="4"/>
  <c r="K24" i="4"/>
  <c r="D13" i="6" s="1"/>
  <c r="M24" i="4"/>
  <c r="J24" i="4"/>
  <c r="E24" i="4"/>
  <c r="I24" i="4"/>
  <c r="H24" i="4"/>
  <c r="G24" i="4"/>
  <c r="F24" i="4"/>
  <c r="A16" i="6" l="1"/>
  <c r="B28" i="4"/>
  <c r="C14" i="6"/>
  <c r="K25" i="4"/>
  <c r="D14" i="6" s="1"/>
  <c r="M25" i="4"/>
  <c r="L25" i="4"/>
  <c r="J25" i="4"/>
  <c r="H25" i="4"/>
  <c r="I25" i="4"/>
  <c r="F25" i="4"/>
  <c r="E25" i="4"/>
  <c r="G25" i="4"/>
  <c r="A17" i="6" l="1"/>
  <c r="B29" i="4"/>
  <c r="A18" i="6" s="1"/>
  <c r="C15" i="6"/>
  <c r="M26" i="4"/>
  <c r="L26" i="4"/>
  <c r="K26" i="4"/>
  <c r="D15" i="6" s="1"/>
  <c r="J26" i="4"/>
  <c r="I26" i="4"/>
  <c r="H26" i="4"/>
  <c r="F26" i="4"/>
  <c r="E26" i="4"/>
  <c r="G26" i="4"/>
  <c r="C16" i="6" l="1"/>
  <c r="L27" i="4"/>
  <c r="K27" i="4"/>
  <c r="D16" i="6" s="1"/>
  <c r="M27" i="4"/>
  <c r="J27" i="4"/>
  <c r="H27" i="4"/>
  <c r="I27" i="4"/>
  <c r="F27" i="4"/>
  <c r="G27" i="4"/>
  <c r="E27" i="4"/>
  <c r="D29" i="4" l="1"/>
  <c r="B33" i="4" s="1"/>
  <c r="C17" i="6"/>
  <c r="L28" i="4"/>
  <c r="K28" i="4"/>
  <c r="D17" i="6" s="1"/>
  <c r="M28" i="4"/>
  <c r="J28" i="4"/>
  <c r="H28" i="4"/>
  <c r="I28" i="4"/>
  <c r="E28" i="4"/>
  <c r="G28" i="4"/>
  <c r="F28" i="4"/>
  <c r="B32" i="4" l="1"/>
  <c r="C18" i="6"/>
  <c r="K29" i="4"/>
  <c r="D18" i="6" s="1"/>
  <c r="M29" i="4"/>
  <c r="L29" i="4"/>
  <c r="J29" i="4"/>
  <c r="G29" i="4"/>
  <c r="I29" i="4"/>
  <c r="H29" i="4"/>
  <c r="F29" i="4"/>
  <c r="E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323C2D75-8491-492C-9966-43D774D03B54}">
      <text>
        <r>
          <rPr>
            <sz val="9"/>
            <color indexed="81"/>
            <rFont val="Tahoma"/>
            <family val="2"/>
          </rPr>
          <t>Población total masculina</t>
        </r>
      </text>
    </comment>
    <comment ref="F1" authorId="0" shapeId="0" xr:uid="{EA2C1CF8-A69E-41B3-95DB-50DB9F498FCC}">
      <text>
        <r>
          <rPr>
            <sz val="9"/>
            <color indexed="81"/>
            <rFont val="Tahoma"/>
            <family val="2"/>
          </rPr>
          <t>Población total femenina</t>
        </r>
      </text>
    </comment>
    <comment ref="I1" authorId="0" shapeId="0" xr:uid="{935C66C2-81E0-4DB9-8E0B-2D7A387DCED1}">
      <text>
        <r>
          <rPr>
            <sz val="9"/>
            <color indexed="81"/>
            <rFont val="Tahoma"/>
            <family val="2"/>
          </rPr>
          <t>Centro poblado rural</t>
        </r>
      </text>
    </comment>
    <comment ref="J1" authorId="0" shapeId="0" xr:uid="{C09DD0EA-2206-4E80-BCCC-481FA6990921}">
      <text>
        <r>
          <rPr>
            <sz val="9"/>
            <color indexed="81"/>
            <rFont val="Tahoma"/>
            <family val="2"/>
          </rPr>
          <t>Población total
Primera infancia</t>
        </r>
      </text>
    </comment>
    <comment ref="K1" authorId="0" shapeId="0" xr:uid="{B8C6ACE9-11E8-41D1-9AFF-DCBBA373D243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L1" authorId="0" shapeId="0" xr:uid="{385D4135-7E6A-418F-BB2C-8554D457FD4A}">
      <text>
        <r>
          <rPr>
            <sz val="9"/>
            <color indexed="81"/>
            <rFont val="Tahoma"/>
            <family val="2"/>
          </rPr>
          <t>Adolescentes</t>
        </r>
      </text>
    </comment>
    <comment ref="M1" authorId="0" shapeId="0" xr:uid="{E489F123-F672-45A4-97B8-65857A70BD8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N1" authorId="0" shapeId="0" xr:uid="{9C168BAB-44BF-4D01-8EC4-DA5EB8B1E401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O1" authorId="0" shapeId="0" xr:uid="{6C299207-0C59-4623-8D71-9B95D63DF50D}">
      <text>
        <r>
          <rPr>
            <sz val="9"/>
            <color indexed="81"/>
            <rFont val="Tahoma"/>
            <family val="2"/>
          </rPr>
          <t>Población masculina
Primera infancia</t>
        </r>
      </text>
    </comment>
    <comment ref="P1" authorId="0" shapeId="0" xr:uid="{7E57B871-BD51-4741-821A-03E462064AAA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Q1" authorId="0" shapeId="0" xr:uid="{92DDDF46-9236-4018-AC5D-C767F998B05A}">
      <text>
        <r>
          <rPr>
            <sz val="9"/>
            <color indexed="81"/>
            <rFont val="Tahoma"/>
            <family val="2"/>
          </rPr>
          <t>Adolescentes</t>
        </r>
      </text>
    </comment>
    <comment ref="R1" authorId="0" shapeId="0" xr:uid="{604F7087-7036-42D2-A12D-F68EDC762DD0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S1" authorId="0" shapeId="0" xr:uid="{9B4EE02D-F398-4379-A565-C00641D00496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  <comment ref="T1" authorId="0" shapeId="0" xr:uid="{82F96169-F4BE-41EC-9EF1-8379D58B5897}">
      <text>
        <r>
          <rPr>
            <sz val="9"/>
            <color indexed="81"/>
            <rFont val="Tahoma"/>
            <family val="2"/>
          </rPr>
          <t>Población femenina
Primera infancia</t>
        </r>
      </text>
    </comment>
    <comment ref="U1" authorId="0" shapeId="0" xr:uid="{4095456E-C544-4CA7-89AB-BEFBCE1DE774}">
      <text>
        <r>
          <rPr>
            <sz val="9"/>
            <color indexed="81"/>
            <rFont val="Tahoma"/>
            <family val="2"/>
          </rPr>
          <t>En educación primaria</t>
        </r>
      </text>
    </comment>
    <comment ref="V1" authorId="0" shapeId="0" xr:uid="{F3D65FB5-AAB4-4461-99FE-06DDB42FB808}">
      <text>
        <r>
          <rPr>
            <sz val="9"/>
            <color indexed="81"/>
            <rFont val="Tahoma"/>
            <family val="2"/>
          </rPr>
          <t>Adolescentes</t>
        </r>
      </text>
    </comment>
    <comment ref="W1" authorId="0" shapeId="0" xr:uid="{FB51171E-13AE-47FF-ACCE-552402D41BCC}">
      <text>
        <r>
          <rPr>
            <sz val="9"/>
            <color indexed="81"/>
            <rFont val="Tahoma"/>
            <family val="2"/>
          </rPr>
          <t>Económicamente activa</t>
        </r>
      </text>
    </comment>
    <comment ref="X1" authorId="0" shapeId="0" xr:uid="{A2D1F3EF-270A-4CD8-9DA7-43AA51D46C45}">
      <text>
        <r>
          <rPr>
            <sz val="9"/>
            <color indexed="81"/>
            <rFont val="Tahoma"/>
            <family val="2"/>
          </rPr>
          <t xml:space="preserve">Adultos mayores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<sst xmlns="http://schemas.openxmlformats.org/spreadsheetml/2006/main" count="108" uniqueCount="83">
  <si>
    <t>Logarítmica</t>
  </si>
  <si>
    <t>Potencial</t>
  </si>
  <si>
    <t>Fuente</t>
  </si>
  <si>
    <t>Fecha</t>
  </si>
  <si>
    <t>PTotal</t>
  </si>
  <si>
    <t>Lineal</t>
  </si>
  <si>
    <t>Polinomio grado 2</t>
  </si>
  <si>
    <t>R²</t>
  </si>
  <si>
    <t>Tendencias</t>
  </si>
  <si>
    <t>Polinomio grado 3</t>
  </si>
  <si>
    <t>Polinomio grado 4</t>
  </si>
  <si>
    <t>Polinomio grado 5</t>
  </si>
  <si>
    <t>Polinomio grado 6</t>
  </si>
  <si>
    <t>Zona</t>
  </si>
  <si>
    <t>Municipio</t>
  </si>
  <si>
    <t>Exponencial</t>
  </si>
  <si>
    <t>c1</t>
  </si>
  <si>
    <t>c2</t>
  </si>
  <si>
    <t>c3</t>
  </si>
  <si>
    <t>c4</t>
  </si>
  <si>
    <t>c5</t>
  </si>
  <si>
    <t>c6</t>
  </si>
  <si>
    <t>c7</t>
  </si>
  <si>
    <t>Mejor ajuste numérico</t>
  </si>
  <si>
    <t>Mejor ajuste visual</t>
  </si>
  <si>
    <t>✓</t>
  </si>
  <si>
    <t>Proyecciones cada</t>
  </si>
  <si>
    <t>Tendencias y constantes</t>
  </si>
  <si>
    <t>PT0_6</t>
  </si>
  <si>
    <t>PT7_12</t>
  </si>
  <si>
    <t>PT13_18</t>
  </si>
  <si>
    <t>PM7_12</t>
  </si>
  <si>
    <t>PM13_18</t>
  </si>
  <si>
    <t>PM0_6</t>
  </si>
  <si>
    <t>PF0_6</t>
  </si>
  <si>
    <t>v7_12</t>
  </si>
  <si>
    <t>PF13_18</t>
  </si>
  <si>
    <t>PTMasc</t>
  </si>
  <si>
    <t>PTFem</t>
  </si>
  <si>
    <t>↓</t>
  </si>
  <si>
    <r>
      <t>Nacen (N)</t>
    </r>
    <r>
      <rPr>
        <sz val="16"/>
        <color theme="1"/>
        <rFont val="Segoe UI Light"/>
        <family val="2"/>
      </rPr>
      <t xml:space="preserve"> →</t>
    </r>
  </si>
  <si>
    <r>
      <t>Mueren (D)</t>
    </r>
    <r>
      <rPr>
        <sz val="14"/>
        <color theme="1"/>
        <rFont val="Segoe UI Light"/>
        <family val="2"/>
      </rPr>
      <t xml:space="preserve"> →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</si>
  <si>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Inmigran (I)</t>
    </r>
  </si>
  <si>
    <r>
      <rPr>
        <sz val="16"/>
        <color theme="1"/>
        <rFont val="Segoe UI Light"/>
        <family val="2"/>
      </rPr>
      <t xml:space="preserve">← </t>
    </r>
    <r>
      <rPr>
        <sz val="11"/>
        <color theme="1"/>
        <rFont val="Segoe UI Light"/>
        <family val="2"/>
      </rPr>
      <t>Emigran (E)</t>
    </r>
  </si>
  <si>
    <t>Saldo o crecimiento total (CT = CV + MN)</t>
  </si>
  <si>
    <t>Población inicial (Po)</t>
  </si>
  <si>
    <t>Tasa de crecimiento total por cada 1000 habitantes,  TCT = (CT / PM) * 1000</t>
  </si>
  <si>
    <t>Tasas</t>
  </si>
  <si>
    <t>Tasa de crecimiento vegetativo por cada 1000 habitantes, TCV = TBN - TBM</t>
  </si>
  <si>
    <t>Tasa bruta de natalidad por cada 1000 habitantes, TBN = (N / PM) * 1000</t>
  </si>
  <si>
    <t>Tasa bruta de mortalidad por cada 1000 habitantes, TBM = (D / PM) * 1000</t>
  </si>
  <si>
    <t>Tasa de inmigración por cada 1000 habitantes, TI = (I / PM) * 1000</t>
  </si>
  <si>
    <t>Tasa de emigración por cada 1000 habitantes, TE = (E / PM) * 1000</t>
  </si>
  <si>
    <t>Tasa de migración neta por cada 1000 habitantes, TMN = TI - TE</t>
  </si>
  <si>
    <t>Ejemplo de dinámica demográfica municipal</t>
  </si>
  <si>
    <t>Población final
(Pr = Po + CT)</t>
  </si>
  <si>
    <t>Población promedio
(PM = (Po + Pr) / 2)</t>
  </si>
  <si>
    <t>Saldo migratorio
(MN = I - E)</t>
  </si>
  <si>
    <t>Saldo vegetativo
(CV = N - D)</t>
  </si>
  <si>
    <t>Observación</t>
  </si>
  <si>
    <t>Sobre ajuste</t>
  </si>
  <si>
    <t>PT15_64</t>
  </si>
  <si>
    <t>PM15_64</t>
  </si>
  <si>
    <t>PF15_64</t>
  </si>
  <si>
    <t>Etiquetas en gráfica</t>
  </si>
  <si>
    <t>DANE</t>
  </si>
  <si>
    <t>Proyectada</t>
  </si>
  <si>
    <t>PT60Max</t>
  </si>
  <si>
    <t>PM60Max</t>
  </si>
  <si>
    <t>PF60Max</t>
  </si>
  <si>
    <t>Análisis de tendencias</t>
  </si>
  <si>
    <t>Proyección de población</t>
  </si>
  <si>
    <t>años desde el siguiente año censal del registro histórico</t>
  </si>
  <si>
    <t>PTUrbano</t>
  </si>
  <si>
    <t>PTRural</t>
  </si>
  <si>
    <t>PTCPR</t>
  </si>
  <si>
    <t>Aritmético</t>
  </si>
  <si>
    <t>Geométrico</t>
  </si>
  <si>
    <t>TC%</t>
  </si>
  <si>
    <t>Exponencial RAS 2000</t>
  </si>
  <si>
    <t>Wappus</t>
  </si>
  <si>
    <t>Proyección DANE</t>
  </si>
  <si>
    <t>Población censal y proyectada a 30 años con diferentes tendencias. Municipio de San Luis de Gaceno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</si>
</sst>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  <font>
      <sz val="8"/>
      <name val="Calibri"/>
      <family val="2"/>
      <scheme val="minor"/>
    </font>
    <font>
      <b/>
      <sz val="11"/>
      <color rgb="FF0070C0"/>
      <name val="Segoe UI Light"/>
      <family val="2"/>
    </font>
    <font>
      <sz val="24"/>
      <name val="Segoe UI Light"/>
      <family val="2"/>
    </font>
    <font>
      <sz val="9"/>
      <color indexed="81"/>
      <name val="Tahoma"/>
      <family val="2"/>
    </font>
    <font>
      <sz val="12"/>
      <color theme="1"/>
      <name val="Segoe UI Light"/>
      <family val="2"/>
    </font>
    <font>
      <sz val="14"/>
      <color theme="1"/>
      <name val="Segoe UI Light"/>
      <family val="2"/>
    </font>
    <font>
      <b/>
      <sz val="16"/>
      <color theme="1"/>
      <name val="Segoe UI Light"/>
      <family val="2"/>
    </font>
    <font>
      <sz val="16"/>
      <color theme="1"/>
      <name val="Segoe UI Light"/>
      <family val="2"/>
    </font>
    <font>
      <b/>
      <sz val="12"/>
      <color theme="1"/>
      <name val="Segoe UI Light"/>
      <family val="2"/>
    </font>
    <font>
      <sz val="10"/>
      <name val="Segoe UI Light"/>
      <family val="2"/>
    </font>
    <font>
      <sz val="10"/>
      <color theme="1"/>
      <name val="Segoe UI Light"/>
      <family val="2"/>
    </font>
    <font>
      <sz val="10"/>
      <color rgb="FFC00000"/>
      <name val="Segoe UI Light"/>
      <family val="2"/>
    </font>
    <font>
      <b/>
      <sz val="18"/>
      <name val="Segoe UI Light"/>
      <family val="2"/>
    </font>
    <font>
      <sz val="11"/>
      <color theme="1"/>
      <name val="Calibri"/>
      <family val="2"/>
      <scheme val="minor"/>
    </font>
    <font>
      <b/>
      <sz val="10"/>
      <name val="Segoe UI Light"/>
      <family val="2"/>
    </font>
    <font>
      <sz val="11"/>
      <color theme="0" tint="-0.1499984740745262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3" borderId="20" xfId="0" applyFont="1" applyFill="1" applyBorder="1" applyAlignment="1">
      <alignment horizontal="left" vertical="center" wrapText="1"/>
    </xf>
    <xf numFmtId="0" fontId="9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" fillId="2" borderId="23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0" fontId="1" fillId="0" borderId="0" xfId="1" applyNumberFormat="1" applyFont="1" applyAlignment="1">
      <alignment horizontal="center" vertical="top"/>
    </xf>
    <xf numFmtId="10" fontId="1" fillId="0" borderId="0" xfId="0" applyNumberFormat="1" applyFont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" fontId="1" fillId="0" borderId="7" xfId="0" applyNumberFormat="1" applyFont="1" applyBorder="1" applyAlignment="1">
      <alignment horizontal="center" vertical="top"/>
    </xf>
    <xf numFmtId="165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164" fontId="19" fillId="0" borderId="0" xfId="0" applyNumberFormat="1" applyFont="1" applyAlignment="1">
      <alignment horizontal="left" vertical="center"/>
    </xf>
    <xf numFmtId="166" fontId="1" fillId="0" borderId="4" xfId="0" applyNumberFormat="1" applyFont="1" applyBorder="1" applyAlignment="1">
      <alignment horizontal="center" vertical="top"/>
    </xf>
    <xf numFmtId="10" fontId="1" fillId="0" borderId="4" xfId="1" applyNumberFormat="1" applyFont="1" applyBorder="1" applyAlignment="1">
      <alignment horizontal="center" vertical="top"/>
    </xf>
    <xf numFmtId="166" fontId="1" fillId="0" borderId="14" xfId="0" applyNumberFormat="1" applyFont="1" applyBorder="1" applyAlignment="1">
      <alignment horizontal="center" vertical="top"/>
    </xf>
    <xf numFmtId="1" fontId="20" fillId="0" borderId="26" xfId="0" applyNumberFormat="1" applyFont="1" applyBorder="1" applyAlignment="1">
      <alignment horizontal="center" vertical="top"/>
    </xf>
    <xf numFmtId="1" fontId="20" fillId="0" borderId="27" xfId="0" applyNumberFormat="1" applyFont="1" applyBorder="1" applyAlignment="1">
      <alignment horizontal="center" vertical="top"/>
    </xf>
    <xf numFmtId="0" fontId="20" fillId="0" borderId="28" xfId="0" applyFont="1" applyBorder="1" applyAlignment="1">
      <alignment horizontal="center" vertical="top"/>
    </xf>
    <xf numFmtId="1" fontId="20" fillId="0" borderId="29" xfId="0" applyNumberFormat="1" applyFont="1" applyBorder="1" applyAlignment="1">
      <alignment horizontal="center" vertical="top"/>
    </xf>
    <xf numFmtId="1" fontId="20" fillId="0" borderId="1" xfId="0" applyNumberFormat="1" applyFont="1" applyBorder="1" applyAlignment="1">
      <alignment horizontal="center" vertical="top"/>
    </xf>
    <xf numFmtId="0" fontId="20" fillId="0" borderId="30" xfId="0" applyFont="1" applyBorder="1" applyAlignment="1">
      <alignment horizontal="center" vertical="top"/>
    </xf>
    <xf numFmtId="1" fontId="20" fillId="0" borderId="31" xfId="0" applyNumberFormat="1" applyFont="1" applyBorder="1" applyAlignment="1">
      <alignment horizontal="center" vertical="top"/>
    </xf>
    <xf numFmtId="1" fontId="20" fillId="0" borderId="32" xfId="0" applyNumberFormat="1" applyFont="1" applyBorder="1" applyAlignment="1">
      <alignment horizontal="center" vertical="top"/>
    </xf>
    <xf numFmtId="0" fontId="20" fillId="0" borderId="33" xfId="0" applyFont="1" applyBorder="1" applyAlignment="1">
      <alignment horizontal="center" vertical="top"/>
    </xf>
    <xf numFmtId="0" fontId="11" fillId="3" borderId="17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1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eetMetadata" Target="metadata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ProyectadaTotal!$B$34</c:f>
          <c:strCache>
            <c:ptCount val="1"/>
            <c:pt idx="0">
              <c:v>DANE - Población censal municipal</c:v>
            </c:pt>
          </c:strCache>
        </c:strRef>
      </c:tx>
      <c:layout>
        <c:manualLayout>
          <c:xMode val="edge"/>
          <c:yMode val="edge"/>
          <c:x val="0.36959934650012266"/>
          <c:y val="1.009280224592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1984232959176118E-2"/>
          <c:y val="9.5570570105434932E-2"/>
          <c:w val="0.88019508632967225"/>
          <c:h val="0.79118327033672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Censal!$D$1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6.0286801670256483E-3"/>
                  <c:y val="-5.7540347300296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11-4052-BABF-CDA58554C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1973</c:v>
                </c:pt>
                <c:pt idx="1">
                  <c:v>1985</c:v>
                </c:pt>
                <c:pt idx="2">
                  <c:v>1993</c:v>
                </c:pt>
                <c:pt idx="3">
                  <c:v>2005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1296</c:v>
                </c:pt>
                <c:pt idx="1">
                  <c:v>1903</c:v>
                </c:pt>
                <c:pt idx="2">
                  <c:v>2319</c:v>
                </c:pt>
                <c:pt idx="3">
                  <c:v>2106</c:v>
                </c:pt>
                <c:pt idx="4">
                  <c:v>2444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0-49B4-880C-F3892B737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0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68609847811096E-2"/>
          <c:y val="0.12060892329409924"/>
          <c:w val="7.5419902512629575E-2"/>
          <c:h val="4.9296218789432453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ProyectadaTotal!$B$32</c:f>
          <c:strCache>
            <c:ptCount val="1"/>
            <c:pt idx="0">
              <c:v>DANE - Población censal Municipio y población proyectada a 30 años con diferentes tendencias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6.9351158306155403E-2"/>
          <c:w val="0.88538511457614932"/>
          <c:h val="0.8275096580432559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ProyectadaTotal!$E$18</c:f>
              <c:strCache>
                <c:ptCount val="1"/>
                <c:pt idx="0">
                  <c:v>Lineal</c:v>
                </c:pt>
              </c:strCache>
            </c:strRef>
          </c:tx>
          <c:spPr>
            <a:ln w="15875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ProyectadaTotal!$E$19:$E$29</c:f>
              <c:numCache>
                <c:formatCode>General</c:formatCode>
                <c:ptCount val="11"/>
                <c:pt idx="0">
                  <c:v>2597</c:v>
                </c:pt>
                <c:pt idx="1">
                  <c:v>2664</c:v>
                </c:pt>
                <c:pt idx="2">
                  <c:v>2731</c:v>
                </c:pt>
                <c:pt idx="3">
                  <c:v>2798</c:v>
                </c:pt>
                <c:pt idx="4">
                  <c:v>2865</c:v>
                </c:pt>
                <c:pt idx="5">
                  <c:v>2931</c:v>
                </c:pt>
                <c:pt idx="6">
                  <c:v>2998</c:v>
                </c:pt>
                <c:pt idx="7">
                  <c:v>3065</c:v>
                </c:pt>
                <c:pt idx="8">
                  <c:v>3132</c:v>
                </c:pt>
                <c:pt idx="9">
                  <c:v>3199</c:v>
                </c:pt>
                <c:pt idx="10">
                  <c:v>3266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71-4B8C-B6A9-4BA10104E465}"/>
            </c:ext>
          </c:extLst>
        </c:ser>
        <c:ser>
          <c:idx val="1"/>
          <c:order val="1"/>
          <c:tx>
            <c:strRef>
              <c:f>ProyectadaTotal!$F$18</c:f>
              <c:strCache>
                <c:ptCount val="1"/>
                <c:pt idx="0">
                  <c:v>Polinomio grado 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098558178324372E-2"/>
                      <c:h val="0.100073954877202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ProyectadaTotal!$F$19:$F$29</c:f>
              <c:numCache>
                <c:formatCode>General</c:formatCode>
                <c:ptCount val="11"/>
                <c:pt idx="0">
                  <c:v>2330</c:v>
                </c:pt>
                <c:pt idx="1">
                  <c:v>2288</c:v>
                </c:pt>
                <c:pt idx="2">
                  <c:v>2234</c:v>
                </c:pt>
                <c:pt idx="3">
                  <c:v>2168</c:v>
                </c:pt>
                <c:pt idx="4">
                  <c:v>2089</c:v>
                </c:pt>
                <c:pt idx="5">
                  <c:v>1998</c:v>
                </c:pt>
                <c:pt idx="6">
                  <c:v>1896</c:v>
                </c:pt>
                <c:pt idx="7">
                  <c:v>1781</c:v>
                </c:pt>
                <c:pt idx="8">
                  <c:v>1653</c:v>
                </c:pt>
                <c:pt idx="9">
                  <c:v>1514</c:v>
                </c:pt>
                <c:pt idx="10">
                  <c:v>1362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1-4B8C-B6A9-4BA10104E465}"/>
            </c:ext>
          </c:extLst>
        </c:ser>
        <c:ser>
          <c:idx val="2"/>
          <c:order val="2"/>
          <c:tx>
            <c:strRef>
              <c:f>ProyectadaTotal!$G$18</c:f>
              <c:strCache>
                <c:ptCount val="1"/>
                <c:pt idx="0">
                  <c:v>Polinomio grado 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ProyectadaTotal!$G$19:$G$29</c:f>
              <c:numCache>
                <c:formatCode>General</c:formatCode>
                <c:ptCount val="11"/>
                <c:pt idx="0">
                  <c:v>2579</c:v>
                </c:pt>
                <c:pt idx="1">
                  <c:v>2781</c:v>
                </c:pt>
                <c:pt idx="2">
                  <c:v>3041</c:v>
                </c:pt>
                <c:pt idx="3">
                  <c:v>3366</c:v>
                </c:pt>
                <c:pt idx="4">
                  <c:v>3764</c:v>
                </c:pt>
                <c:pt idx="5">
                  <c:v>4241</c:v>
                </c:pt>
                <c:pt idx="6">
                  <c:v>4806</c:v>
                </c:pt>
                <c:pt idx="7">
                  <c:v>5466</c:v>
                </c:pt>
                <c:pt idx="8">
                  <c:v>6227</c:v>
                </c:pt>
                <c:pt idx="9">
                  <c:v>7098</c:v>
                </c:pt>
                <c:pt idx="10">
                  <c:v>8085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71-4B8C-B6A9-4BA10104E465}"/>
            </c:ext>
          </c:extLst>
        </c:ser>
        <c:ser>
          <c:idx val="3"/>
          <c:order val="3"/>
          <c:tx>
            <c:strRef>
              <c:f>ProyectadaTotal!$H$18</c:f>
              <c:strCache>
                <c:ptCount val="1"/>
                <c:pt idx="0">
                  <c:v>Polinomio grado 4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ProyectadaTotal!$H$19:$H$29</c:f>
              <c:numCache>
                <c:formatCode>General</c:formatCode>
                <c:ptCount val="11"/>
                <c:pt idx="0">
                  <c:v>2581</c:v>
                </c:pt>
                <c:pt idx="1">
                  <c:v>2786</c:v>
                </c:pt>
                <c:pt idx="2">
                  <c:v>3051</c:v>
                </c:pt>
                <c:pt idx="3">
                  <c:v>3382</c:v>
                </c:pt>
                <c:pt idx="4">
                  <c:v>3788</c:v>
                </c:pt>
                <c:pt idx="5">
                  <c:v>4277</c:v>
                </c:pt>
                <c:pt idx="6">
                  <c:v>4856</c:v>
                </c:pt>
                <c:pt idx="7">
                  <c:v>5534</c:v>
                </c:pt>
                <c:pt idx="8">
                  <c:v>6317</c:v>
                </c:pt>
                <c:pt idx="9">
                  <c:v>7214</c:v>
                </c:pt>
                <c:pt idx="10">
                  <c:v>8233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71-4B8C-B6A9-4BA10104E465}"/>
            </c:ext>
          </c:extLst>
        </c:ser>
        <c:ser>
          <c:idx val="4"/>
          <c:order val="4"/>
          <c:tx>
            <c:strRef>
              <c:f>ProyectadaTotal!$I$18</c:f>
              <c:strCache>
                <c:ptCount val="1"/>
                <c:pt idx="0">
                  <c:v>Polinomio grado 5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ProyectadaTotal!$I$19:$I$29</c:f>
              <c:numCache>
                <c:formatCode>General</c:formatCode>
                <c:ptCount val="11"/>
                <c:pt idx="0">
                  <c:v>2584</c:v>
                </c:pt>
                <c:pt idx="1">
                  <c:v>2791</c:v>
                </c:pt>
                <c:pt idx="2">
                  <c:v>3060</c:v>
                </c:pt>
                <c:pt idx="3">
                  <c:v>3398</c:v>
                </c:pt>
                <c:pt idx="4">
                  <c:v>3813</c:v>
                </c:pt>
                <c:pt idx="5">
                  <c:v>4314</c:v>
                </c:pt>
                <c:pt idx="6">
                  <c:v>4907</c:v>
                </c:pt>
                <c:pt idx="7">
                  <c:v>5603</c:v>
                </c:pt>
                <c:pt idx="8">
                  <c:v>6409</c:v>
                </c:pt>
                <c:pt idx="9">
                  <c:v>7334</c:v>
                </c:pt>
                <c:pt idx="10">
                  <c:v>8385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71-4B8C-B6A9-4BA10104E465}"/>
            </c:ext>
          </c:extLst>
        </c:ser>
        <c:ser>
          <c:idx val="5"/>
          <c:order val="5"/>
          <c:tx>
            <c:strRef>
              <c:f>ProyectadaTotal!$J$18</c:f>
              <c:strCache>
                <c:ptCount val="1"/>
                <c:pt idx="0">
                  <c:v>Polinomio grado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ProyectadaTotal!$J$19:$J$29</c:f>
              <c:numCache>
                <c:formatCode>General</c:formatCode>
                <c:ptCount val="11"/>
                <c:pt idx="0">
                  <c:v>2586</c:v>
                </c:pt>
                <c:pt idx="1">
                  <c:v>2797</c:v>
                </c:pt>
                <c:pt idx="2">
                  <c:v>3070</c:v>
                </c:pt>
                <c:pt idx="3">
                  <c:v>3415</c:v>
                </c:pt>
                <c:pt idx="4">
                  <c:v>3839</c:v>
                </c:pt>
                <c:pt idx="5">
                  <c:v>4351</c:v>
                </c:pt>
                <c:pt idx="6">
                  <c:v>4960</c:v>
                </c:pt>
                <c:pt idx="7">
                  <c:v>5674</c:v>
                </c:pt>
                <c:pt idx="8">
                  <c:v>6503</c:v>
                </c:pt>
                <c:pt idx="9">
                  <c:v>7456</c:v>
                </c:pt>
                <c:pt idx="10">
                  <c:v>8541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271-4B8C-B6A9-4BA10104E465}"/>
            </c:ext>
          </c:extLst>
        </c:ser>
        <c:ser>
          <c:idx val="6"/>
          <c:order val="6"/>
          <c:tx>
            <c:strRef>
              <c:f>ProyectadaTotal!$K$18</c:f>
              <c:strCache>
                <c:ptCount val="1"/>
                <c:pt idx="0">
                  <c:v>Logarítmica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428532497415122E-4"/>
                  <c:y val="2.0168068294478498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ProyectadaTotal!$K$19:$K$29</c:f>
              <c:numCache>
                <c:formatCode>General</c:formatCode>
                <c:ptCount val="11"/>
                <c:pt idx="0">
                  <c:v>2596</c:v>
                </c:pt>
                <c:pt idx="1">
                  <c:v>2662</c:v>
                </c:pt>
                <c:pt idx="2">
                  <c:v>2728</c:v>
                </c:pt>
                <c:pt idx="3">
                  <c:v>2794</c:v>
                </c:pt>
                <c:pt idx="4">
                  <c:v>2859</c:v>
                </c:pt>
                <c:pt idx="5">
                  <c:v>2925</c:v>
                </c:pt>
                <c:pt idx="6">
                  <c:v>2991</c:v>
                </c:pt>
                <c:pt idx="7">
                  <c:v>3056</c:v>
                </c:pt>
                <c:pt idx="8">
                  <c:v>3121</c:v>
                </c:pt>
                <c:pt idx="9">
                  <c:v>3187</c:v>
                </c:pt>
                <c:pt idx="10">
                  <c:v>3252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71-4B8C-B6A9-4BA10104E465}"/>
            </c:ext>
          </c:extLst>
        </c:ser>
        <c:ser>
          <c:idx val="7"/>
          <c:order val="7"/>
          <c:tx>
            <c:strRef>
              <c:f>ProyectadaTotal!$L$18</c:f>
              <c:strCache>
                <c:ptCount val="1"/>
                <c:pt idx="0">
                  <c:v>Potencial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4.1498558701140859E-3"/>
                  <c:y val="5.0420170736196424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ProyectadaTotal!$L$19:$L$29</c:f>
              <c:numCache>
                <c:formatCode>General</c:formatCode>
                <c:ptCount val="11"/>
                <c:pt idx="0">
                  <c:v>2707</c:v>
                </c:pt>
                <c:pt idx="1">
                  <c:v>2806</c:v>
                </c:pt>
                <c:pt idx="2">
                  <c:v>2910</c:v>
                </c:pt>
                <c:pt idx="3">
                  <c:v>3017</c:v>
                </c:pt>
                <c:pt idx="4">
                  <c:v>3127</c:v>
                </c:pt>
                <c:pt idx="5">
                  <c:v>3242</c:v>
                </c:pt>
                <c:pt idx="6">
                  <c:v>3361</c:v>
                </c:pt>
                <c:pt idx="7">
                  <c:v>3484</c:v>
                </c:pt>
                <c:pt idx="8">
                  <c:v>3611</c:v>
                </c:pt>
                <c:pt idx="9">
                  <c:v>3742</c:v>
                </c:pt>
                <c:pt idx="10">
                  <c:v>3878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271-4B8C-B6A9-4BA10104E465}"/>
            </c:ext>
          </c:extLst>
        </c:ser>
        <c:ser>
          <c:idx val="8"/>
          <c:order val="8"/>
          <c:tx>
            <c:strRef>
              <c:f>ProyectadaTotal!$M$18</c:f>
              <c:strCache>
                <c:ptCount val="1"/>
                <c:pt idx="0">
                  <c:v>Exponencial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-1.5215962414322077E-16"/>
                  <c:y val="-4.638655707730075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271-4B8C-B6A9-4BA10104E4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ProyectadaTotal!$D$19:$D$29</c:f>
              <c:numCache>
                <c:formatCode>0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ProyectadaTotal!$M$19:$M$29</c:f>
              <c:numCache>
                <c:formatCode>General</c:formatCode>
                <c:ptCount val="11"/>
                <c:pt idx="0">
                  <c:v>2708</c:v>
                </c:pt>
                <c:pt idx="1">
                  <c:v>2809</c:v>
                </c:pt>
                <c:pt idx="2">
                  <c:v>2914</c:v>
                </c:pt>
                <c:pt idx="3">
                  <c:v>3023</c:v>
                </c:pt>
                <c:pt idx="4">
                  <c:v>3136</c:v>
                </c:pt>
                <c:pt idx="5">
                  <c:v>3253</c:v>
                </c:pt>
                <c:pt idx="6">
                  <c:v>3374</c:v>
                </c:pt>
                <c:pt idx="7">
                  <c:v>3500</c:v>
                </c:pt>
                <c:pt idx="8">
                  <c:v>3631</c:v>
                </c:pt>
                <c:pt idx="9">
                  <c:v>3766</c:v>
                </c:pt>
                <c:pt idx="10">
                  <c:v>3907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271-4B8C-B6A9-4BA10104E465}"/>
            </c:ext>
          </c:extLst>
        </c:ser>
        <c:ser>
          <c:idx val="9"/>
          <c:order val="9"/>
          <c:tx>
            <c:v>Censal</c:v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Censal!$C$2:$C$6</c:f>
              <c:numCache>
                <c:formatCode>0</c:formatCode>
                <c:ptCount val="5"/>
                <c:pt idx="0">
                  <c:v>1973</c:v>
                </c:pt>
                <c:pt idx="1">
                  <c:v>1985</c:v>
                </c:pt>
                <c:pt idx="2">
                  <c:v>1993</c:v>
                </c:pt>
                <c:pt idx="3">
                  <c:v>2005</c:v>
                </c:pt>
                <c:pt idx="4">
                  <c:v>2018</c:v>
                </c:pt>
              </c:numCache>
            </c:numRef>
          </c:xVal>
          <c:yVal>
            <c:numRef>
              <c:f>Censal!$D$2:$D$6</c:f>
              <c:numCache>
                <c:formatCode>0</c:formatCode>
                <c:ptCount val="5"/>
                <c:pt idx="0">
                  <c:v>1296</c:v>
                </c:pt>
                <c:pt idx="1">
                  <c:v>1903</c:v>
                </c:pt>
                <c:pt idx="2">
                  <c:v>2319</c:v>
                </c:pt>
                <c:pt idx="3">
                  <c:v>2106</c:v>
                </c:pt>
                <c:pt idx="4">
                  <c:v>2444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271-4B8C-B6A9-4BA10104E465}"/>
            </c:ext>
          </c:extLst>
        </c:ser>
        <c:ser>
          <c:idx val="10"/>
          <c:order val="10"/>
          <c:tx>
            <c:v>Aritmético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3.6803830022883841E-3"/>
                  <c:y val="-1.4742857923263835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ProyectadaTotal!$Q$19:$Q$29</c:f>
              <c:numCache>
                <c:formatCode>0</c:formatCode>
                <c:ptCount val="11"/>
                <c:pt idx="0">
                  <c:v>2522</c:v>
                </c:pt>
                <c:pt idx="1">
                  <c:v>2601</c:v>
                </c:pt>
                <c:pt idx="2">
                  <c:v>2679</c:v>
                </c:pt>
                <c:pt idx="3">
                  <c:v>2758</c:v>
                </c:pt>
                <c:pt idx="4">
                  <c:v>2836</c:v>
                </c:pt>
                <c:pt idx="5">
                  <c:v>2915</c:v>
                </c:pt>
                <c:pt idx="6">
                  <c:v>2993</c:v>
                </c:pt>
                <c:pt idx="7">
                  <c:v>3072</c:v>
                </c:pt>
                <c:pt idx="8">
                  <c:v>3150</c:v>
                </c:pt>
                <c:pt idx="9">
                  <c:v>3229</c:v>
                </c:pt>
                <c:pt idx="10" formatCode="General">
                  <c:v>3307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1-41C5-950E-26C7B7312C61}"/>
            </c:ext>
          </c:extLst>
        </c:ser>
        <c:ser>
          <c:idx val="11"/>
          <c:order val="11"/>
          <c:tx>
            <c:strRef>
              <c:f>ProyectadaTotal!$R$18</c:f>
              <c:strCache>
                <c:ptCount val="1"/>
                <c:pt idx="0">
                  <c:v>Geométrico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0"/>
                  <c:y val="1.349243768900620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ProyectadaTotal!$R$19:$R$29</c:f>
              <c:numCache>
                <c:formatCode>0</c:formatCode>
                <c:ptCount val="11"/>
                <c:pt idx="0">
                  <c:v>2550</c:v>
                </c:pt>
                <c:pt idx="1">
                  <c:v>2660</c:v>
                </c:pt>
                <c:pt idx="2">
                  <c:v>2775</c:v>
                </c:pt>
                <c:pt idx="3">
                  <c:v>2894</c:v>
                </c:pt>
                <c:pt idx="4">
                  <c:v>3019</c:v>
                </c:pt>
                <c:pt idx="5">
                  <c:v>3150</c:v>
                </c:pt>
                <c:pt idx="6">
                  <c:v>3286</c:v>
                </c:pt>
                <c:pt idx="7">
                  <c:v>3428</c:v>
                </c:pt>
                <c:pt idx="8">
                  <c:v>3576</c:v>
                </c:pt>
                <c:pt idx="9">
                  <c:v>3730</c:v>
                </c:pt>
                <c:pt idx="10" formatCode="General">
                  <c:v>3892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1-41C5-950E-26C7B7312C61}"/>
            </c:ext>
          </c:extLst>
        </c:ser>
        <c:ser>
          <c:idx val="12"/>
          <c:order val="12"/>
          <c:tx>
            <c:strRef>
              <c:f>ProyectadaTotal!$S$18</c:f>
              <c:strCache>
                <c:ptCount val="1"/>
                <c:pt idx="0">
                  <c:v>Exponencial RAS 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2.923687826601878E-3"/>
                  <c:y val="-0.110541261723880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Segoe UI Light" panose="020B0502040204020203" pitchFamily="34" charset="0"/>
                      <a:ea typeface="+mn-ea"/>
                      <a:cs typeface="Segoe UI Light" panose="020B0502040204020203" pitchFamily="34" charset="0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40399271683957"/>
                      <c:h val="0.118225216342233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ProyectadaTotal!$S$19:$S$29</c:f>
              <c:numCache>
                <c:formatCode>0</c:formatCode>
                <c:ptCount val="11"/>
                <c:pt idx="0">
                  <c:v>2667</c:v>
                </c:pt>
                <c:pt idx="1">
                  <c:v>2790</c:v>
                </c:pt>
                <c:pt idx="2">
                  <c:v>2919</c:v>
                </c:pt>
                <c:pt idx="3">
                  <c:v>3054</c:v>
                </c:pt>
                <c:pt idx="4">
                  <c:v>3195</c:v>
                </c:pt>
                <c:pt idx="5">
                  <c:v>3342</c:v>
                </c:pt>
                <c:pt idx="6">
                  <c:v>3496</c:v>
                </c:pt>
                <c:pt idx="7">
                  <c:v>3658</c:v>
                </c:pt>
                <c:pt idx="8">
                  <c:v>3826</c:v>
                </c:pt>
                <c:pt idx="9" formatCode="General">
                  <c:v>4003</c:v>
                </c:pt>
                <c:pt idx="10" formatCode="General">
                  <c:v>4188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81-41C5-950E-26C7B7312C61}"/>
            </c:ext>
          </c:extLst>
        </c:ser>
        <c:ser>
          <c:idx val="13"/>
          <c:order val="13"/>
          <c:tx>
            <c:strRef>
              <c:f>ProyectadaTotal!$T$18</c:f>
              <c:strCache>
                <c:ptCount val="1"/>
                <c:pt idx="0">
                  <c:v>Wappus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9.3371757077566932E-3"/>
                  <c:y val="3.6302522930061504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81-41C5-950E-26C7B7312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ProyectadaTotal!$T$19:$T$29</c:f>
              <c:numCache>
                <c:formatCode>General</c:formatCode>
                <c:ptCount val="11"/>
                <c:pt idx="0">
                  <c:v>1978</c:v>
                </c:pt>
                <c:pt idx="1">
                  <c:v>2033</c:v>
                </c:pt>
                <c:pt idx="2">
                  <c:v>2089</c:v>
                </c:pt>
                <c:pt idx="3">
                  <c:v>2148</c:v>
                </c:pt>
                <c:pt idx="4">
                  <c:v>2208</c:v>
                </c:pt>
                <c:pt idx="5">
                  <c:v>2271</c:v>
                </c:pt>
                <c:pt idx="6">
                  <c:v>2336</c:v>
                </c:pt>
                <c:pt idx="7">
                  <c:v>2404</c:v>
                </c:pt>
                <c:pt idx="8">
                  <c:v>2474</c:v>
                </c:pt>
                <c:pt idx="9">
                  <c:v>2546</c:v>
                </c:pt>
                <c:pt idx="10">
                  <c:v>2622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81-41C5-950E-26C7B7312C61}"/>
            </c:ext>
          </c:extLst>
        </c:ser>
        <c:ser>
          <c:idx val="14"/>
          <c:order val="14"/>
          <c:tx>
            <c:strRef>
              <c:f>ProyectadaTotal!$P$18</c:f>
              <c:strCache>
                <c:ptCount val="1"/>
                <c:pt idx="0">
                  <c:v>Proyección DANE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ProyectadaTotal!$O$19:$O$29</c:f>
              <c:numCache>
                <c:formatCode>General</c:formatCode>
                <c:ptCount val="11"/>
                <c:pt idx="0">
                  <c:v>2021</c:v>
                </c:pt>
                <c:pt idx="1">
                  <c:v>2024</c:v>
                </c:pt>
                <c:pt idx="2">
                  <c:v>2027</c:v>
                </c:pt>
                <c:pt idx="3">
                  <c:v>2030</c:v>
                </c:pt>
                <c:pt idx="4">
                  <c:v>2033</c:v>
                </c:pt>
                <c:pt idx="5">
                  <c:v>2036</c:v>
                </c:pt>
                <c:pt idx="6">
                  <c:v>2039</c:v>
                </c:pt>
                <c:pt idx="7">
                  <c:v>2042</c:v>
                </c:pt>
                <c:pt idx="8">
                  <c:v>2045</c:v>
                </c:pt>
                <c:pt idx="9">
                  <c:v>2048</c:v>
                </c:pt>
                <c:pt idx="10">
                  <c:v>2051</c:v>
                </c:pt>
              </c:numCache>
            </c:numRef>
          </c:xVal>
          <c:yVal>
            <c:numRef>
              <c:f>ProyectadaTotal!$P$19:$P$29</c:f>
              <c:numCache>
                <c:formatCode>0</c:formatCode>
                <c:ptCount val="11"/>
                <c:pt idx="0">
                  <c:v>2586</c:v>
                </c:pt>
                <c:pt idx="1">
                  <c:v>2769</c:v>
                </c:pt>
                <c:pt idx="2">
                  <c:v>2882</c:v>
                </c:pt>
                <c:pt idx="3">
                  <c:v>2975</c:v>
                </c:pt>
                <c:pt idx="4">
                  <c:v>3031</c:v>
                </c:pt>
                <c:pt idx="5">
                  <c:v>3080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81-41C5-950E-26C7B731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  <c:max val="5000"/>
          <c:min val="100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490352932988239E-2"/>
          <c:y val="0.11858681233834777"/>
          <c:w val="0.45727457888969952"/>
          <c:h val="0.277043831246944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ProyectadaTotal!$B$33</c:f>
          <c:strCache>
            <c:ptCount val="1"/>
            <c:pt idx="0">
              <c:v>DANE - Población censal Municipio y población proyectada a 30 años para el ajuste seleccionado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019745553384511E-2"/>
          <c:y val="8.7516712103048372E-2"/>
          <c:w val="0.88538511457614932"/>
          <c:h val="0.83757935109742632"/>
        </c:manualLayout>
      </c:layout>
      <c:scatterChart>
        <c:scatterStyle val="smoothMarker"/>
        <c:varyColors val="0"/>
        <c:ser>
          <c:idx val="9"/>
          <c:order val="0"/>
          <c:tx>
            <c:strRef>
              <c:f>PoblacionGIS!$D$1</c:f>
              <c:strCache>
                <c:ptCount val="1"/>
                <c:pt idx="0">
                  <c:v>PTotal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  <a:headEnd type="none" w="sm" len="sm"/>
              <a:tailEnd type="none" w="sm" len="sm"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5"/>
              <c:layout>
                <c:manualLayout>
                  <c:x val="-1.9522160737825908E-2"/>
                  <c:y val="-5.7553869954478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A4-4EFD-99C8-BA365B9F7927}"/>
                </c:ext>
              </c:extLst>
            </c:dLbl>
            <c:dLbl>
              <c:idx val="6"/>
              <c:layout>
                <c:manualLayout>
                  <c:x val="-1.1219274724928159E-2"/>
                  <c:y val="-6.5398874740517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A4-4EFD-99C8-BA365B9F79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PoblacionGIS!$C$2:$C$18</c:f>
              <c:numCache>
                <c:formatCode>General</c:formatCode>
                <c:ptCount val="17"/>
                <c:pt idx="0">
                  <c:v>1973</c:v>
                </c:pt>
                <c:pt idx="1">
                  <c:v>1985</c:v>
                </c:pt>
                <c:pt idx="2">
                  <c:v>1993</c:v>
                </c:pt>
                <c:pt idx="3">
                  <c:v>2005</c:v>
                </c:pt>
                <c:pt idx="4">
                  <c:v>2018</c:v>
                </c:pt>
                <c:pt idx="5">
                  <c:v>2018</c:v>
                </c:pt>
                <c:pt idx="6">
                  <c:v>2021</c:v>
                </c:pt>
                <c:pt idx="7">
                  <c:v>2024</c:v>
                </c:pt>
                <c:pt idx="8">
                  <c:v>2027</c:v>
                </c:pt>
                <c:pt idx="9">
                  <c:v>2030</c:v>
                </c:pt>
                <c:pt idx="10">
                  <c:v>2033</c:v>
                </c:pt>
                <c:pt idx="11">
                  <c:v>2036</c:v>
                </c:pt>
                <c:pt idx="12">
                  <c:v>2039</c:v>
                </c:pt>
                <c:pt idx="13">
                  <c:v>2042</c:v>
                </c:pt>
                <c:pt idx="14">
                  <c:v>2045</c:v>
                </c:pt>
                <c:pt idx="15">
                  <c:v>2048</c:v>
                </c:pt>
                <c:pt idx="16">
                  <c:v>2051</c:v>
                </c:pt>
              </c:numCache>
            </c:numRef>
          </c:xVal>
          <c:yVal>
            <c:numRef>
              <c:f>PoblacionGIS!$D$2:$D$18</c:f>
              <c:numCache>
                <c:formatCode>General</c:formatCode>
                <c:ptCount val="17"/>
                <c:pt idx="0">
                  <c:v>1296</c:v>
                </c:pt>
                <c:pt idx="1">
                  <c:v>1903</c:v>
                </c:pt>
                <c:pt idx="2">
                  <c:v>2319</c:v>
                </c:pt>
                <c:pt idx="3">
                  <c:v>2106</c:v>
                </c:pt>
                <c:pt idx="4">
                  <c:v>2444</c:v>
                </c:pt>
                <c:pt idx="5">
                  <c:v>2444</c:v>
                </c:pt>
                <c:pt idx="6" formatCode="0">
                  <c:v>2559</c:v>
                </c:pt>
                <c:pt idx="7" formatCode="0">
                  <c:v>2631.5</c:v>
                </c:pt>
                <c:pt idx="8" formatCode="0">
                  <c:v>2703.5</c:v>
                </c:pt>
                <c:pt idx="9" formatCode="0">
                  <c:v>2776</c:v>
                </c:pt>
                <c:pt idx="10" formatCode="0">
                  <c:v>2847.5</c:v>
                </c:pt>
                <c:pt idx="11" formatCode="0">
                  <c:v>2920</c:v>
                </c:pt>
                <c:pt idx="12" formatCode="0">
                  <c:v>2992</c:v>
                </c:pt>
                <c:pt idx="13" formatCode="0">
                  <c:v>3064</c:v>
                </c:pt>
                <c:pt idx="14" formatCode="0">
                  <c:v>3135.5</c:v>
                </c:pt>
                <c:pt idx="15" formatCode="0">
                  <c:v>3208</c:v>
                </c:pt>
                <c:pt idx="16" formatCode="0">
                  <c:v>3279.5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856-43A4-86B4-4B0E8EF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400352"/>
        <c:axId val="663400832"/>
      </c:scatterChart>
      <c:valAx>
        <c:axId val="663400352"/>
        <c:scaling>
          <c:orientation val="minMax"/>
          <c:min val="1970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832"/>
        <c:crosses val="autoZero"/>
        <c:crossBetween val="midCat"/>
      </c:valAx>
      <c:valAx>
        <c:axId val="6634008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Población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6340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837951387606352E-2"/>
          <c:y val="9.84273849352469E-2"/>
          <c:w val="7.5435341719387317E-2"/>
          <c:h val="4.9273338577570942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19926C-FDFD-4B6F-9591-D15E2C7B4756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74D3F2C-D5F1-41AE-ACE4-DFC0B9A95345}">
  <sheetPr/>
  <sheetViews>
    <sheetView zoomScale="115" workbookViewId="0"/>
  </sheetViews>
  <pageMargins left="0.25" right="0.25" top="0.75" bottom="0.75" header="0.3" footer="0.3"/>
  <pageSetup paperSize="5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C66609-86C6-4B72-9620-31705379CED0}">
  <sheetPr/>
  <sheetViews>
    <sheetView zoomScale="85" workbookViewId="0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B9D6-C519-36EA-863F-98A18A8884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225130" cy="62823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042FF-A425-4B26-20E6-D41A21F207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23122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4F964-2B94-23E4-A3A2-70F68F0212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3F7D-8A04-4EDE-8789-543ED0F016DA}">
  <dimension ref="A1:X19"/>
  <sheetViews>
    <sheetView showGridLines="0" zoomScale="145" zoomScaleNormal="145" workbookViewId="0">
      <pane ySplit="1" topLeftCell="A2" activePane="bottomLeft" state="frozen"/>
      <selection pane="bottomLeft" activeCell="D2" sqref="D2"/>
    </sheetView>
  </sheetViews>
  <sheetFormatPr defaultColWidth="9.1328125" defaultRowHeight="16.5" x14ac:dyDescent="0.45"/>
  <cols>
    <col min="1" max="1" width="9.59765625" style="8" customWidth="1"/>
    <col min="2" max="2" width="9.86328125" style="8" customWidth="1"/>
    <col min="3" max="3" width="8.59765625" style="2" customWidth="1"/>
    <col min="4" max="4" width="10.3984375" style="2" customWidth="1"/>
    <col min="5" max="5" width="11.59765625" style="2" customWidth="1"/>
    <col min="6" max="9" width="10.86328125" style="2" customWidth="1"/>
    <col min="10" max="12" width="10.3984375" style="2" customWidth="1"/>
    <col min="13" max="14" width="9.1328125" style="2"/>
    <col min="15" max="17" width="10.3984375" style="2" customWidth="1"/>
    <col min="18" max="19" width="9.1328125" style="2"/>
    <col min="20" max="22" width="10.3984375" style="2" customWidth="1"/>
    <col min="23" max="16384" width="9.1328125" style="2"/>
  </cols>
  <sheetData>
    <row r="1" spans="1:24" x14ac:dyDescent="0.45">
      <c r="A1" s="6" t="s">
        <v>2</v>
      </c>
      <c r="B1" s="6" t="s">
        <v>13</v>
      </c>
      <c r="C1" s="6" t="s">
        <v>3</v>
      </c>
      <c r="D1" s="6" t="s">
        <v>4</v>
      </c>
      <c r="E1" s="6" t="s">
        <v>37</v>
      </c>
      <c r="F1" s="6" t="s">
        <v>38</v>
      </c>
      <c r="G1" s="6" t="s">
        <v>73</v>
      </c>
      <c r="H1" s="6" t="s">
        <v>74</v>
      </c>
      <c r="I1" s="6" t="s">
        <v>75</v>
      </c>
      <c r="J1" s="6" t="s">
        <v>28</v>
      </c>
      <c r="K1" s="6" t="s">
        <v>29</v>
      </c>
      <c r="L1" s="6" t="s">
        <v>30</v>
      </c>
      <c r="M1" s="6" t="s">
        <v>61</v>
      </c>
      <c r="N1" s="6" t="s">
        <v>67</v>
      </c>
      <c r="O1" s="6" t="s">
        <v>33</v>
      </c>
      <c r="P1" s="6" t="s">
        <v>31</v>
      </c>
      <c r="Q1" s="6" t="s">
        <v>32</v>
      </c>
      <c r="R1" s="6" t="s">
        <v>62</v>
      </c>
      <c r="S1" s="6" t="s">
        <v>68</v>
      </c>
      <c r="T1" s="6" t="s">
        <v>34</v>
      </c>
      <c r="U1" s="6" t="s">
        <v>35</v>
      </c>
      <c r="V1" s="6" t="s">
        <v>36</v>
      </c>
      <c r="W1" s="6" t="s">
        <v>63</v>
      </c>
      <c r="X1" s="6" t="s">
        <v>69</v>
      </c>
    </row>
    <row r="2" spans="1:24" x14ac:dyDescent="0.45">
      <c r="A2" s="5" t="s">
        <v>65</v>
      </c>
      <c r="B2" s="5" t="s">
        <v>14</v>
      </c>
      <c r="C2" s="5">
        <v>1973</v>
      </c>
      <c r="D2" s="5">
        <v>1296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45">
      <c r="A3" s="5" t="str">
        <f>$A$2</f>
        <v>DANE</v>
      </c>
      <c r="B3" s="5" t="str">
        <f>$B$2</f>
        <v>Municipio</v>
      </c>
      <c r="C3" s="5">
        <v>1985</v>
      </c>
      <c r="D3" s="5">
        <v>1903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45">
      <c r="A4" s="5" t="str">
        <f t="shared" ref="A4:A6" si="0">$A$2</f>
        <v>DANE</v>
      </c>
      <c r="B4" s="5" t="str">
        <f t="shared" ref="B4:B6" si="1">$B$2</f>
        <v>Municipio</v>
      </c>
      <c r="C4" s="5">
        <v>1993</v>
      </c>
      <c r="D4" s="5">
        <v>2319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45">
      <c r="A5" s="5" t="str">
        <f t="shared" si="0"/>
        <v>DANE</v>
      </c>
      <c r="B5" s="5" t="str">
        <f t="shared" si="1"/>
        <v>Municipio</v>
      </c>
      <c r="C5" s="5">
        <v>2005</v>
      </c>
      <c r="D5" s="5">
        <v>2106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45">
      <c r="A6" s="5" t="str">
        <f t="shared" si="0"/>
        <v>DANE</v>
      </c>
      <c r="B6" s="5" t="str">
        <f t="shared" si="1"/>
        <v>Municipio</v>
      </c>
      <c r="C6" s="5">
        <v>2018</v>
      </c>
      <c r="D6" s="5">
        <v>2444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45">
      <c r="A7" s="7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45">
      <c r="A8" s="7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4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4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4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4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45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45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4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4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3:24" x14ac:dyDescent="0.45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3:24" x14ac:dyDescent="0.45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3:24" x14ac:dyDescent="0.4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B67-A9CB-4F86-9CEB-D63DBE20F700}">
  <dimension ref="B2:G23"/>
  <sheetViews>
    <sheetView showGridLines="0" zoomScale="130" zoomScaleNormal="130" workbookViewId="0">
      <pane ySplit="2" topLeftCell="A3" activePane="bottomLeft" state="frozen"/>
      <selection pane="bottomLeft" activeCell="F7" sqref="F7"/>
    </sheetView>
  </sheetViews>
  <sheetFormatPr defaultColWidth="9.265625" defaultRowHeight="16.5" x14ac:dyDescent="0.45"/>
  <cols>
    <col min="1" max="1" width="2.73046875" style="36" customWidth="1"/>
    <col min="2" max="2" width="20.3984375" style="36" customWidth="1"/>
    <col min="3" max="3" width="9.265625" style="36"/>
    <col min="4" max="4" width="5" style="36" customWidth="1"/>
    <col min="5" max="5" width="18.3984375" style="36" customWidth="1"/>
    <col min="6" max="6" width="9.265625" style="36"/>
    <col min="7" max="7" width="20.3984375" style="36" customWidth="1"/>
    <col min="8" max="8" width="2.73046875" style="36" customWidth="1"/>
    <col min="9" max="16384" width="9.265625" style="36"/>
  </cols>
  <sheetData>
    <row r="2" spans="2:7" x14ac:dyDescent="0.45">
      <c r="B2" s="83" t="s">
        <v>54</v>
      </c>
      <c r="C2" s="83"/>
      <c r="D2" s="83"/>
      <c r="E2" s="83"/>
      <c r="F2" s="83"/>
      <c r="G2" s="83"/>
    </row>
    <row r="4" spans="2:7" ht="24" x14ac:dyDescent="0.45">
      <c r="B4" s="37" t="s">
        <v>40</v>
      </c>
      <c r="C4" s="24">
        <v>17</v>
      </c>
      <c r="D4" s="25"/>
      <c r="E4" s="25"/>
      <c r="F4" s="26">
        <v>30</v>
      </c>
      <c r="G4" s="36" t="s">
        <v>42</v>
      </c>
    </row>
    <row r="5" spans="2:7" ht="18.75" x14ac:dyDescent="0.45">
      <c r="B5" s="37"/>
      <c r="C5" s="84" t="s">
        <v>45</v>
      </c>
      <c r="D5" s="85"/>
      <c r="E5" s="85"/>
      <c r="F5" s="86"/>
    </row>
    <row r="6" spans="2:7" ht="26.25" x14ac:dyDescent="0.45">
      <c r="B6" s="37"/>
      <c r="C6" s="27"/>
      <c r="D6" s="81">
        <f>MAX(Censal!D2:D95)</f>
        <v>2444</v>
      </c>
      <c r="E6" s="82"/>
      <c r="F6" s="28"/>
    </row>
    <row r="7" spans="2:7" ht="24" x14ac:dyDescent="0.45">
      <c r="B7" s="37" t="s">
        <v>41</v>
      </c>
      <c r="C7" s="29">
        <v>18</v>
      </c>
      <c r="D7" s="30"/>
      <c r="E7" s="30"/>
      <c r="F7" s="31">
        <v>25</v>
      </c>
      <c r="G7" s="36" t="s">
        <v>43</v>
      </c>
    </row>
    <row r="8" spans="2:7" ht="20.25" x14ac:dyDescent="0.45">
      <c r="B8" s="37"/>
      <c r="C8" s="38" t="s">
        <v>39</v>
      </c>
      <c r="D8" s="38"/>
      <c r="E8" s="38"/>
      <c r="F8" s="38" t="s">
        <v>39</v>
      </c>
    </row>
    <row r="9" spans="2:7" ht="33" x14ac:dyDescent="0.45">
      <c r="B9" s="35" t="s">
        <v>58</v>
      </c>
      <c r="C9" s="33">
        <f>C4-C7</f>
        <v>-1</v>
      </c>
      <c r="F9" s="32">
        <f>F4-F7</f>
        <v>5</v>
      </c>
      <c r="G9" s="34" t="s">
        <v>57</v>
      </c>
    </row>
    <row r="10" spans="2:7" ht="20.25" x14ac:dyDescent="0.45">
      <c r="C10" s="38" t="s">
        <v>39</v>
      </c>
      <c r="D10" s="38"/>
      <c r="E10" s="38"/>
      <c r="F10" s="38" t="s">
        <v>39</v>
      </c>
    </row>
    <row r="11" spans="2:7" x14ac:dyDescent="0.45">
      <c r="C11" s="87" t="s">
        <v>44</v>
      </c>
      <c r="D11" s="88"/>
      <c r="E11" s="88"/>
      <c r="F11" s="89"/>
    </row>
    <row r="12" spans="2:7" ht="24" x14ac:dyDescent="0.45">
      <c r="C12" s="77">
        <f>C9+F9</f>
        <v>4</v>
      </c>
      <c r="D12" s="78"/>
      <c r="E12" s="78"/>
      <c r="F12" s="79"/>
    </row>
    <row r="13" spans="2:7" ht="20.25" x14ac:dyDescent="0.45">
      <c r="C13" s="38" t="s">
        <v>39</v>
      </c>
      <c r="D13" s="38"/>
      <c r="E13" s="38"/>
      <c r="F13" s="38" t="s">
        <v>39</v>
      </c>
    </row>
    <row r="14" spans="2:7" ht="37.5" x14ac:dyDescent="0.45">
      <c r="B14" s="40" t="s">
        <v>55</v>
      </c>
      <c r="C14" s="41">
        <f>D6+C12</f>
        <v>2448</v>
      </c>
      <c r="F14" s="42">
        <f>(D6+C14)/2</f>
        <v>2446</v>
      </c>
      <c r="G14" s="39" t="s">
        <v>56</v>
      </c>
    </row>
    <row r="15" spans="2:7" ht="20.25" x14ac:dyDescent="0.45">
      <c r="C15" s="38"/>
      <c r="D15" s="38"/>
      <c r="E15" s="38"/>
      <c r="F15" s="38"/>
    </row>
    <row r="16" spans="2:7" s="44" customFormat="1" ht="15.4" x14ac:dyDescent="0.45">
      <c r="B16" s="44" t="s">
        <v>47</v>
      </c>
      <c r="C16" s="45"/>
      <c r="D16" s="45"/>
      <c r="E16" s="45"/>
      <c r="F16" s="45"/>
    </row>
    <row r="17" spans="2:7" s="43" customFormat="1" ht="15.4" x14ac:dyDescent="0.45">
      <c r="B17" s="80" t="s">
        <v>46</v>
      </c>
      <c r="C17" s="80"/>
      <c r="D17" s="80"/>
      <c r="E17" s="80"/>
      <c r="F17" s="80"/>
      <c r="G17" s="64">
        <f>(C12/F14)*1000</f>
        <v>1.635322976287817</v>
      </c>
    </row>
    <row r="18" spans="2:7" s="43" customFormat="1" ht="15.4" x14ac:dyDescent="0.45">
      <c r="B18" s="80" t="s">
        <v>49</v>
      </c>
      <c r="C18" s="80"/>
      <c r="D18" s="80"/>
      <c r="E18" s="80"/>
      <c r="F18" s="80"/>
      <c r="G18" s="64">
        <f>(C4/F14)*1000</f>
        <v>6.9501226492232213</v>
      </c>
    </row>
    <row r="19" spans="2:7" s="43" customFormat="1" ht="15.4" x14ac:dyDescent="0.45">
      <c r="B19" s="80" t="s">
        <v>50</v>
      </c>
      <c r="C19" s="80"/>
      <c r="D19" s="80"/>
      <c r="E19" s="80"/>
      <c r="F19" s="80"/>
      <c r="G19" s="64">
        <f>(C7/F14)*1000</f>
        <v>7.3589533932951756</v>
      </c>
    </row>
    <row r="20" spans="2:7" s="43" customFormat="1" ht="15.4" x14ac:dyDescent="0.45">
      <c r="B20" s="80" t="s">
        <v>48</v>
      </c>
      <c r="C20" s="80"/>
      <c r="D20" s="80"/>
      <c r="E20" s="80"/>
      <c r="F20" s="80"/>
      <c r="G20" s="64">
        <f>G18-G19</f>
        <v>-0.4088307440719543</v>
      </c>
    </row>
    <row r="21" spans="2:7" x14ac:dyDescent="0.45">
      <c r="B21" s="80" t="s">
        <v>51</v>
      </c>
      <c r="C21" s="80"/>
      <c r="D21" s="80"/>
      <c r="E21" s="80"/>
      <c r="F21" s="80"/>
      <c r="G21" s="64">
        <f>(F4/F14)*1000</f>
        <v>12.264922322158627</v>
      </c>
    </row>
    <row r="22" spans="2:7" ht="17.100000000000001" customHeight="1" x14ac:dyDescent="0.45">
      <c r="B22" s="80" t="s">
        <v>52</v>
      </c>
      <c r="C22" s="80"/>
      <c r="D22" s="80"/>
      <c r="E22" s="80"/>
      <c r="F22" s="80"/>
      <c r="G22" s="64">
        <f>(F7/F14)*1000</f>
        <v>10.220768601798856</v>
      </c>
    </row>
    <row r="23" spans="2:7" x14ac:dyDescent="0.45">
      <c r="B23" s="80" t="s">
        <v>53</v>
      </c>
      <c r="C23" s="80"/>
      <c r="D23" s="80"/>
      <c r="E23" s="80"/>
      <c r="F23" s="80"/>
      <c r="G23" s="64">
        <f>G21-G22</f>
        <v>2.0441537203597715</v>
      </c>
    </row>
  </sheetData>
  <mergeCells count="12">
    <mergeCell ref="B19:F19"/>
    <mergeCell ref="B20:F20"/>
    <mergeCell ref="B21:F21"/>
    <mergeCell ref="B22:F22"/>
    <mergeCell ref="B23:F23"/>
    <mergeCell ref="C12:F12"/>
    <mergeCell ref="B17:F17"/>
    <mergeCell ref="B18:F18"/>
    <mergeCell ref="D6:E6"/>
    <mergeCell ref="B2:G2"/>
    <mergeCell ref="C5:F5"/>
    <mergeCell ref="C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97D0-7CF3-40B1-9A24-C33BBE54D035}">
  <dimension ref="B2:T38"/>
  <sheetViews>
    <sheetView showGridLines="0" tabSelected="1" topLeftCell="C3" zoomScale="115" zoomScaleNormal="115" workbookViewId="0">
      <selection activeCell="K24" sqref="K24"/>
    </sheetView>
  </sheetViews>
  <sheetFormatPr defaultColWidth="9.265625" defaultRowHeight="16.5" x14ac:dyDescent="0.45"/>
  <cols>
    <col min="1" max="1" width="2.73046875" style="2" customWidth="1"/>
    <col min="2" max="2" width="17.59765625" style="2" customWidth="1"/>
    <col min="3" max="3" width="12.86328125" style="2" customWidth="1"/>
    <col min="4" max="4" width="11.73046875" style="2" customWidth="1"/>
    <col min="5" max="13" width="11.59765625" style="2" customWidth="1"/>
    <col min="14" max="14" width="5.1328125" style="2" customWidth="1"/>
    <col min="15" max="15" width="11.73046875" style="2" customWidth="1"/>
    <col min="16" max="21" width="13.265625" style="2" customWidth="1"/>
    <col min="22" max="25" width="9.265625" style="2" customWidth="1"/>
    <col min="26" max="26" width="13.73046875" style="2" customWidth="1"/>
    <col min="27" max="34" width="9.265625" style="2" customWidth="1"/>
    <col min="35" max="35" width="12.86328125" style="2" bestFit="1" customWidth="1"/>
    <col min="36" max="36" width="9.265625" style="2" customWidth="1"/>
    <col min="37" max="16384" width="9.265625" style="2"/>
  </cols>
  <sheetData>
    <row r="2" spans="2:19" x14ac:dyDescent="0.45">
      <c r="B2" s="2" t="s">
        <v>70</v>
      </c>
    </row>
    <row r="3" spans="2:19" s="1" customFormat="1" ht="33" x14ac:dyDescent="0.45">
      <c r="B3" s="90" t="s">
        <v>27</v>
      </c>
      <c r="C3" s="91"/>
      <c r="D3" s="50" t="s">
        <v>8</v>
      </c>
      <c r="E3" s="54" t="s">
        <v>5</v>
      </c>
      <c r="F3" s="54" t="s">
        <v>6</v>
      </c>
      <c r="G3" s="54" t="s">
        <v>9</v>
      </c>
      <c r="H3" s="54" t="s">
        <v>10</v>
      </c>
      <c r="I3" s="54" t="s">
        <v>11</v>
      </c>
      <c r="J3" s="54" t="s">
        <v>12</v>
      </c>
      <c r="K3" s="54" t="s">
        <v>0</v>
      </c>
      <c r="L3" s="54" t="s">
        <v>1</v>
      </c>
      <c r="M3" s="55" t="s">
        <v>15</v>
      </c>
      <c r="O3" s="50" t="s">
        <v>8</v>
      </c>
      <c r="P3" s="54" t="s">
        <v>76</v>
      </c>
      <c r="Q3" s="54" t="s">
        <v>77</v>
      </c>
      <c r="R3" s="54" t="s">
        <v>15</v>
      </c>
      <c r="S3" s="55" t="s">
        <v>80</v>
      </c>
    </row>
    <row r="4" spans="2:19" x14ac:dyDescent="0.45">
      <c r="B4" s="92"/>
      <c r="C4" s="93"/>
      <c r="D4" s="18" t="s">
        <v>16</v>
      </c>
      <c r="E4" s="16" cm="1">
        <f t="array" ref="E4">INDEX(LINEST(Censal!D2:D6,Censal!C2:C6^{1},TRUE,TRUE),1,1)</f>
        <v>22.276134122287967</v>
      </c>
      <c r="F4" s="16" cm="1">
        <f t="array" ref="F4">INDEX(LINEST(Censal!D2:D6,Censal!C2:C6^{1,2},TRUE,TRUE),1,1)</f>
        <v>-0.67688904084795187</v>
      </c>
      <c r="G4" s="16" cm="1">
        <f t="array" ref="G4">INDEX(LINEST(Censal!D2:D6,Censal!C2:C6^{1,2,3},TRUE,TRUE),1,1)</f>
        <v>4.5148957132324717E-2</v>
      </c>
      <c r="H4" s="16" cm="1">
        <f t="array" ref="H4">INDEX(LINEST(Censal!D2:D6,Censal!C2:C6^{1,2,3,4},TRUE,TRUE),1,1)</f>
        <v>1.7087532761627889E-5</v>
      </c>
      <c r="I4" s="16" cm="1">
        <f t="array" ref="I4">INDEX(LINEST(Censal!D2:D6,Censal!C2:C6^{1,2,3,4,5},TRUE,TRUE),1,1)</f>
        <v>6.8981841433682134E-9</v>
      </c>
      <c r="J4" s="16" cm="1">
        <f t="array" ref="J4">INDEX(LINEST(Censal!D2:D6,Censal!C2:C6^{1,2,3,4,5,6},TRUE,TRUE),1,1)</f>
        <v>2.9007753349661861E-12</v>
      </c>
      <c r="K4" s="16" cm="1">
        <f t="array" ref="K4">INDEX(LINEST(Censal!D2:D6,LN(Censal!C2:C6)^{1},TRUE,TRUE),1,1)</f>
        <v>44520.450126321644</v>
      </c>
      <c r="L4" s="16" cm="1">
        <f t="array" ref="L4">INDEX(LINEST(LOG(Censal!D2:D6),LOG(Censal!C2:C6)^{1},TRUE,TRUE),1,1)</f>
        <v>24.409614401571105</v>
      </c>
      <c r="M4" s="17" cm="1">
        <f t="array" ref="M4">INDEX(LINEST(LN(Censal!D2:D6),Censal!C2:C6^{1},TRUE,TRUE),1,1)</f>
        <v>1.2210045424878245E-2</v>
      </c>
      <c r="O4" s="18" t="s">
        <v>16</v>
      </c>
      <c r="P4" s="51">
        <f>+(Censal!$D$6-Censal!D2)/(Censal!$C$6-Censal!C2)/Censal!D2</f>
        <v>1.9684499314128946E-2</v>
      </c>
      <c r="Q4" s="61">
        <f>+(Censal!$D$6/Censal!D2)^(1/(Censal!$C$6-Censal!C2))-1</f>
        <v>1.4196570800287134E-2</v>
      </c>
      <c r="R4" s="59">
        <f>+(LN(Censal!D3)-LN(Censal!D2))/(Censal!C3-Censal!C2)</f>
        <v>3.2012415865327437E-2</v>
      </c>
      <c r="S4" s="65">
        <f>200*(Censal!$D$6-Censal!D2)/(Censal!$C$6-Censal!C2)/(Censal!D2+Censal!$D$6)</f>
        <v>1.364230540701129</v>
      </c>
    </row>
    <row r="5" spans="2:19" x14ac:dyDescent="0.45">
      <c r="B5" s="92"/>
      <c r="C5" s="93"/>
      <c r="D5" s="18" t="s">
        <v>17</v>
      </c>
      <c r="E5" s="16" cm="1">
        <f t="array" ref="E5">INDEX(LINEST(Censal!D2:D6,Censal!C2:C6^{1},TRUE,TRUE),1,2)</f>
        <v>-42422.832347140036</v>
      </c>
      <c r="F5" s="16" cm="1">
        <f t="array" ref="F5">INDEX(LINEST(Censal!D2:D6,Censal!C2:C6^{1,2},TRUE,TRUE),1,2)</f>
        <v>2724.0393556043532</v>
      </c>
      <c r="G5" s="16" cm="1">
        <f t="array" ref="G5">INDEX(LINEST(Censal!D2:D6,Censal!C2:C6^{1,2,3},TRUE,TRUE),1,2)</f>
        <v>-270.92109197397144</v>
      </c>
      <c r="H5" s="16" cm="1">
        <f t="array" ref="H5">INDEX(LINEST(Censal!D2:D6,Censal!C2:C6^{1,2,3,4},TRUE,TRUE),1,2)</f>
        <v>-9.1144613962140519E-2</v>
      </c>
      <c r="I5" s="16" cm="1">
        <f t="array" ref="I5">INDEX(LINEST(Censal!D2:D6,Censal!C2:C6^{1,2,3,4,5},TRUE,TRUE),1,2)</f>
        <v>-3.4495840844038393E-5</v>
      </c>
      <c r="J5" s="16" cm="1">
        <f t="array" ref="J5">INDEX(LINEST(Censal!D2:D6,Censal!C2:C6^{1,2,3,4,5,6},TRUE,TRUE),1,2)</f>
        <v>-1.3925995590912255E-8</v>
      </c>
      <c r="K5" s="16" cm="1">
        <f t="array" ref="K5">INDEX(LINEST(Censal!D2:D6,LN(Censal!C2:C6)^{1},TRUE,TRUE),1,2)</f>
        <v>-336264.73433499341</v>
      </c>
      <c r="L5" s="16" cm="1">
        <f t="array" ref="L5">INDEX(LINEST(LOG(Censal!D2:D6),LOG(Censal!C2:C6)^{1},TRUE,TRUE),1,2)</f>
        <v>-77.255166126076759</v>
      </c>
      <c r="M5" s="17" cm="1">
        <f t="array" ref="M5">EXP(INDEX(LINEST(LN(Censal!D2:D6),Censal!C2:C6^{1},TRUE,TRUE),1,2))</f>
        <v>5.1980977912879293E-8</v>
      </c>
      <c r="O5" s="18" t="s">
        <v>17</v>
      </c>
      <c r="P5" s="51">
        <f>+(Censal!$D$6-Censal!D3)/(Censal!$C$6-Censal!C3)/Censal!D3</f>
        <v>8.614786859663371E-3</v>
      </c>
      <c r="Q5" s="61">
        <f>+(Censal!$D$6/Censal!D3)^(1/(Censal!$C$6-Censal!C3))-1</f>
        <v>7.6107689082478558E-3</v>
      </c>
      <c r="R5" s="59">
        <f>+(LN(Censal!D4)-LN(Censal!D3))/(Censal!C4-Censal!C3)</f>
        <v>2.47130587449228E-2</v>
      </c>
      <c r="S5" s="65">
        <f>200*(Censal!$D$6-Censal!D3)/(Censal!$C$6-Censal!C3)/(Censal!D3+Censal!$D$6)</f>
        <v>0.75426452238046449</v>
      </c>
    </row>
    <row r="6" spans="2:19" x14ac:dyDescent="0.45">
      <c r="B6" s="92"/>
      <c r="C6" s="93"/>
      <c r="D6" s="18" t="s">
        <v>18</v>
      </c>
      <c r="E6" s="16"/>
      <c r="F6" s="16" cm="1">
        <f t="array" ref="F6">INDEX(LINEST(Censal!D2:D6,Censal!C2:C6^{1,2},TRUE,TRUE),1,3)</f>
        <v>-2738240.2044207491</v>
      </c>
      <c r="G6" s="16" cm="1">
        <f t="array" ref="G6">INDEX(LINEST(Censal!D2:D6,Censal!C2:C6^{1,2,3},TRUE,TRUE),1,3)</f>
        <v>541896.68536005309</v>
      </c>
      <c r="H6" s="16" cm="1">
        <f t="array" ref="H6">INDEX(LINEST(Censal!D2:D6,Censal!C2:C6^{1,2,3,4},TRUE,TRUE),1,3)</f>
        <v>136.73350139569564</v>
      </c>
      <c r="I6" s="16" cm="1">
        <f t="array" ref="I6">INDEX(LINEST(Censal!D2:D6,Censal!C2:C6^{1,2,3,4,5},TRUE,TRUE),1,3)</f>
        <v>4.6000978743408728E-2</v>
      </c>
      <c r="J6" s="16" cm="1">
        <f t="array" ref="J6">INDEX(LINEST(Censal!D2:D6,Censal!C2:C6^{1,2,3,4,5,6},TRUE,TRUE),1,3)</f>
        <v>1.7410319841637141E-5</v>
      </c>
      <c r="K6" s="16"/>
      <c r="L6" s="16"/>
      <c r="M6" s="17"/>
      <c r="O6" s="18" t="s">
        <v>18</v>
      </c>
      <c r="P6" s="51">
        <f>+(Censal!$D$6-Censal!D4)/(Censal!$C$6-Censal!C4)/Censal!D4</f>
        <v>2.1561017680034496E-3</v>
      </c>
      <c r="Q6" s="61">
        <f>+(Censal!$D$6/Censal!D4)^(1/(Censal!$C$6-Censal!C4))-1</f>
        <v>2.1022058643223041E-3</v>
      </c>
      <c r="R6" s="59">
        <f>+(LN(Censal!D5)-LN(Censal!D4))/(Censal!C5-Censal!C4)</f>
        <v>-8.0288037134675552E-3</v>
      </c>
      <c r="S6" s="65">
        <f>200*(Censal!$D$6-Censal!D4)/(Censal!$C$6-Censal!C4)/(Censal!D4+Censal!$D$6)</f>
        <v>0.2099517111064455</v>
      </c>
    </row>
    <row r="7" spans="2:19" x14ac:dyDescent="0.45">
      <c r="B7" s="92"/>
      <c r="C7" s="93"/>
      <c r="D7" s="18" t="s">
        <v>19</v>
      </c>
      <c r="E7" s="16"/>
      <c r="F7" s="16"/>
      <c r="G7" s="16" cm="1">
        <f t="array" ref="G7">INDEX(LINEST(Censal!D2:D6,Censal!C2:C6^{1,2,3},TRUE,TRUE),1,4)</f>
        <v>-361298482.39604771</v>
      </c>
      <c r="H7" s="16" cm="1">
        <f t="array" ref="H7">INDEX(LINEST(Censal!D2:D6,Censal!C2:C6^{1,2,3,4},TRUE,TRUE),1,4)</f>
        <v>0</v>
      </c>
      <c r="I7" s="16" cm="1">
        <f t="array" ref="I7">INDEX(LINEST(Censal!D2:D6,Censal!C2:C6^{1,2,3,4,5},TRUE,TRUE),1,4)</f>
        <v>0</v>
      </c>
      <c r="J7" s="16" cm="1">
        <f t="array" ref="J7">INDEX(LINEST(Censal!D2:D6,Censal!C2:C6^{1,2,3,4,5,6},TRUE,TRUE),1,4)</f>
        <v>0</v>
      </c>
      <c r="K7" s="16"/>
      <c r="L7" s="16"/>
      <c r="M7" s="17"/>
      <c r="O7" s="18" t="s">
        <v>19</v>
      </c>
      <c r="P7" s="51">
        <f>+(Censal!$D$6-Censal!D5)/(Censal!$C$6-Censal!C5)/Censal!D5</f>
        <v>1.2345679012345678E-2</v>
      </c>
      <c r="Q7" s="61">
        <f>+(Censal!$D$6/Censal!D5)^(1/(Censal!$C$6-Censal!C5))-1</f>
        <v>1.1515461943274019E-2</v>
      </c>
      <c r="R7" s="59">
        <f>+(LN(Censal!D6)-LN(Censal!D5))/(Censal!C6-Censal!C5)</f>
        <v>1.1449663661351131E-2</v>
      </c>
      <c r="S7" s="65">
        <f>200*(Censal!$D$6-Censal!D5)/(Censal!$C$6-Censal!C5)/(Censal!D5+Censal!$D$6)</f>
        <v>1.1428571428571428</v>
      </c>
    </row>
    <row r="8" spans="2:19" x14ac:dyDescent="0.45">
      <c r="B8" s="92"/>
      <c r="C8" s="93"/>
      <c r="D8" s="18" t="s">
        <v>20</v>
      </c>
      <c r="E8" s="16"/>
      <c r="F8" s="16"/>
      <c r="G8" s="16"/>
      <c r="H8" s="16" cm="1">
        <f t="array" ref="H8">INDEX(LINEST(Censal!D2:D6,Censal!C2:C6^{1,2,3,4},TRUE,TRUE),1,5)</f>
        <v>-91175440.495838642</v>
      </c>
      <c r="I8" s="16" cm="1">
        <f t="array" ref="I8">INDEX(LINEST(Censal!D2:D6,Censal!C2:C6^{1,2,3,4,5},TRUE,TRUE),1,5)</f>
        <v>0</v>
      </c>
      <c r="J8" s="16" cm="1">
        <f t="array" ref="J8">INDEX(LINEST(Censal!D2:D6,Censal!C2:C6^{1,2,3,4,5,6},TRUE,TRUE),1,5)</f>
        <v>0</v>
      </c>
      <c r="K8" s="16"/>
      <c r="L8" s="16"/>
      <c r="M8" s="17"/>
      <c r="O8" s="18"/>
      <c r="P8" s="51"/>
      <c r="R8" s="59"/>
      <c r="S8" s="17"/>
    </row>
    <row r="9" spans="2:19" x14ac:dyDescent="0.45">
      <c r="B9" s="92"/>
      <c r="C9" s="93"/>
      <c r="D9" s="18" t="s">
        <v>21</v>
      </c>
      <c r="E9" s="16"/>
      <c r="F9" s="16"/>
      <c r="G9" s="16"/>
      <c r="H9" s="16"/>
      <c r="I9" s="16" cm="1">
        <f t="array" ref="I9">INDEX(LINEST(Censal!D2:D6,Censal!C2:C6^{1,2,3,4,5},TRUE,TRUE),1,6)</f>
        <v>-36814091.358606845</v>
      </c>
      <c r="J9" s="16" cm="1">
        <f t="array" ref="J9">INDEX(LINEST(Censal!D2:D6,Censal!C2:C6^{1,2,3,4,5,6},TRUE,TRUE),1,6)</f>
        <v>0</v>
      </c>
      <c r="K9" s="16"/>
      <c r="L9" s="16"/>
      <c r="M9" s="17"/>
      <c r="O9" s="18"/>
      <c r="P9" s="51"/>
      <c r="S9" s="17"/>
    </row>
    <row r="10" spans="2:19" x14ac:dyDescent="0.45">
      <c r="B10" s="92"/>
      <c r="C10" s="93"/>
      <c r="D10" s="18" t="s">
        <v>22</v>
      </c>
      <c r="E10" s="16"/>
      <c r="F10" s="16"/>
      <c r="G10" s="16"/>
      <c r="H10" s="16"/>
      <c r="I10" s="16"/>
      <c r="J10" s="16" cm="1">
        <f t="array" ref="J10">INDEX(LINEST(Censal!D2:D6,Censal!C2:C6^{1,2,3,4,5,6},TRUE,TRUE),1,7)</f>
        <v>-18580702.220149934</v>
      </c>
      <c r="K10" s="16"/>
      <c r="L10" s="16"/>
      <c r="M10" s="17"/>
      <c r="O10" s="18" t="s">
        <v>78</v>
      </c>
      <c r="P10" s="52">
        <f>+AVERAGE(P4:P9)</f>
        <v>1.0700266738535361E-2</v>
      </c>
      <c r="Q10" s="52">
        <f>+AVERAGE(Q4:Q9)</f>
        <v>8.8562518790328282E-3</v>
      </c>
      <c r="R10" s="52">
        <f>+AVERAGE(R4:R9)</f>
        <v>1.5036583639533453E-2</v>
      </c>
      <c r="S10" s="66">
        <f>+IF(AVERAGE(S4:S7)*(Censal!C6+ProyectadaTotal!C17-Censal!C2)&lt;200,AVERAGE(S4:S7)/100,"No Aplica")</f>
        <v>8.6782597926129551E-3</v>
      </c>
    </row>
    <row r="11" spans="2:19" x14ac:dyDescent="0.45">
      <c r="B11" s="92"/>
      <c r="C11" s="93"/>
      <c r="D11" s="19" t="s">
        <v>7</v>
      </c>
      <c r="E11" s="20" cm="1">
        <f t="array" ref="E11">INDEX(LINEST(Censal!D2:D6,Censal!C2:C6^{1},TRUE,TRUE),3,1)</f>
        <v>0.74156639776551592</v>
      </c>
      <c r="F11" s="20" cm="1">
        <f t="array" ref="F11">INDEX(LINEST(Censal!D2:D6,Censal!C2:C6^{1,2},TRUE,TRUE),3,1)</f>
        <v>0.87400948511633014</v>
      </c>
      <c r="G11" s="20" cm="1">
        <f t="array" ref="G11">INDEX(LINEST(Censal!D2:D6,Censal!C2:C6^{1,2,3},TRUE,TRUE),3,1)</f>
        <v>0.94450036263728732</v>
      </c>
      <c r="H11" s="20" cm="1">
        <f t="array" ref="H11">INDEX(LINEST(Censal!D2:D6,Censal!C2:C6^{1,2,3,4},TRUE,TRUE),3,1)</f>
        <v>0.94481578729468907</v>
      </c>
      <c r="I11" s="20" cm="1">
        <f t="array" ref="I11">INDEX(LINEST(Censal!D2:D6,Censal!C2:C6^{1,2,3,4,5},TRUE,TRUE),3,1)</f>
        <v>0.94513204748021618</v>
      </c>
      <c r="J11" s="20" cm="1">
        <f t="array" ref="J11">INDEX(LINEST(Censal!D2:D6,Censal!C2:C6^{1,2,3,4,5,6},TRUE,TRUE),3,1)</f>
        <v>0.94544912882153798</v>
      </c>
      <c r="K11" s="20" cm="1">
        <f t="array" ref="K11">INDEX(LINEST(Censal!D2:D6,LN(Censal!C2:C6)^{1},TRUE,TRUE),3,1)</f>
        <v>0.74374998639682643</v>
      </c>
      <c r="L11" s="20" cm="1">
        <f t="array" ref="L11">INDEX(LINEST(LOG(Censal!D2:D6),LOG(Censal!C2:C6)^{1},TRUE,TRUE),3,1)</f>
        <v>0.71648501662410558</v>
      </c>
      <c r="M11" s="21" cm="1">
        <f t="array" ref="M11">INDEX(LINEST(LN(Censal!D2:D6),Censal!C2:C6^{1},TRUE,TRUE),3,1)</f>
        <v>0.71397392483992372</v>
      </c>
      <c r="O11" s="19" t="s">
        <v>7</v>
      </c>
      <c r="P11" s="60">
        <f>+CORREL($P$31:$P$35,Q31:Q35)</f>
        <v>0.86110965504403703</v>
      </c>
      <c r="Q11" s="60">
        <f t="shared" ref="Q11:S11" si="0">+CORREL($P$31:$P$35,R31:R35)</f>
        <v>0.82334404567044983</v>
      </c>
      <c r="R11" s="60">
        <f t="shared" si="0"/>
        <v>0.82080863689061556</v>
      </c>
      <c r="S11" s="67">
        <f t="shared" si="0"/>
        <v>0.83559962611394878</v>
      </c>
    </row>
    <row r="12" spans="2:19" ht="33" x14ac:dyDescent="0.45">
      <c r="B12" s="92"/>
      <c r="C12" s="93"/>
      <c r="D12" s="50" t="s">
        <v>23</v>
      </c>
      <c r="E12" s="22" t="str">
        <f>IF(E11=MAX($E$11:$M$11),"✓","")</f>
        <v/>
      </c>
      <c r="F12" s="22" t="str">
        <f t="shared" ref="F12:M12" si="1">IF(F11=MAX($E$11:$M$11),"✓","")</f>
        <v/>
      </c>
      <c r="G12" s="22" t="str">
        <f t="shared" si="1"/>
        <v/>
      </c>
      <c r="H12" s="22" t="str">
        <f t="shared" si="1"/>
        <v/>
      </c>
      <c r="I12" s="22" t="str">
        <f t="shared" si="1"/>
        <v/>
      </c>
      <c r="J12" s="22" t="str">
        <f t="shared" si="1"/>
        <v>✓</v>
      </c>
      <c r="K12" s="22" t="str">
        <f t="shared" si="1"/>
        <v/>
      </c>
      <c r="L12" s="22" t="str">
        <f t="shared" si="1"/>
        <v/>
      </c>
      <c r="M12" s="23" t="str">
        <f t="shared" si="1"/>
        <v/>
      </c>
      <c r="O12" s="50" t="s">
        <v>23</v>
      </c>
      <c r="P12" s="22" t="str">
        <f>IF(P11=MAX($P$11:$S$11),"✓","")</f>
        <v>✓</v>
      </c>
      <c r="Q12" s="22" t="str">
        <f>IF(Q11=MAX($P$11:$S$11),"✓","")</f>
        <v/>
      </c>
      <c r="R12" s="22" t="str">
        <f>IF(R11=MAX($P$11:$S$11),"✓","")</f>
        <v/>
      </c>
      <c r="S12" s="23" t="str">
        <f t="shared" ref="S12" si="2">IF(S11=MAX($E$11:$M$11),"✓","")</f>
        <v/>
      </c>
    </row>
    <row r="13" spans="2:19" x14ac:dyDescent="0.45">
      <c r="B13" s="92"/>
      <c r="C13" s="93"/>
      <c r="D13" s="46" t="s">
        <v>59</v>
      </c>
      <c r="E13" s="48"/>
      <c r="F13" s="48"/>
      <c r="G13" s="48" t="s">
        <v>60</v>
      </c>
      <c r="H13" s="48" t="s">
        <v>60</v>
      </c>
      <c r="I13" s="48" t="s">
        <v>60</v>
      </c>
      <c r="J13" s="48" t="s">
        <v>60</v>
      </c>
      <c r="K13" s="48"/>
      <c r="L13" s="48"/>
      <c r="M13" s="49"/>
      <c r="O13" s="46" t="s">
        <v>59</v>
      </c>
      <c r="P13" s="48"/>
      <c r="Q13" s="48"/>
      <c r="R13" s="48"/>
      <c r="S13" s="49"/>
    </row>
    <row r="14" spans="2:19" ht="33" x14ac:dyDescent="0.45">
      <c r="B14" s="94"/>
      <c r="C14" s="95"/>
      <c r="D14" s="12" t="s">
        <v>24</v>
      </c>
      <c r="E14" s="14"/>
      <c r="F14" s="14"/>
      <c r="G14" s="14"/>
      <c r="H14" s="14"/>
      <c r="I14" s="14"/>
      <c r="J14" s="14"/>
      <c r="K14" s="14" t="s">
        <v>25</v>
      </c>
      <c r="L14" s="14"/>
      <c r="M14" s="15"/>
      <c r="O14" s="12" t="s">
        <v>24</v>
      </c>
      <c r="P14" s="14" t="s">
        <v>25</v>
      </c>
      <c r="Q14" s="14"/>
      <c r="R14" s="14"/>
      <c r="S14" s="15"/>
    </row>
    <row r="16" spans="2:19" x14ac:dyDescent="0.45">
      <c r="B16" s="2" t="s">
        <v>71</v>
      </c>
    </row>
    <row r="17" spans="2:20" x14ac:dyDescent="0.45">
      <c r="B17" s="2" t="s">
        <v>26</v>
      </c>
      <c r="C17" s="13">
        <v>3</v>
      </c>
      <c r="D17" s="2" t="s">
        <v>72</v>
      </c>
      <c r="M17" s="9"/>
    </row>
    <row r="18" spans="2:20" ht="33" x14ac:dyDescent="0.45">
      <c r="B18" s="50" t="s">
        <v>2</v>
      </c>
      <c r="C18" s="54" t="s">
        <v>13</v>
      </c>
      <c r="D18" s="54" t="s">
        <v>3</v>
      </c>
      <c r="E18" s="54" t="str">
        <f>E3</f>
        <v>Lineal</v>
      </c>
      <c r="F18" s="54" t="str">
        <f t="shared" ref="F18:M18" si="3">F3</f>
        <v>Polinomio grado 2</v>
      </c>
      <c r="G18" s="54" t="str">
        <f t="shared" si="3"/>
        <v>Polinomio grado 3</v>
      </c>
      <c r="H18" s="54" t="str">
        <f t="shared" si="3"/>
        <v>Polinomio grado 4</v>
      </c>
      <c r="I18" s="54" t="str">
        <f t="shared" si="3"/>
        <v>Polinomio grado 5</v>
      </c>
      <c r="J18" s="54" t="str">
        <f t="shared" si="3"/>
        <v>Polinomio grado 6</v>
      </c>
      <c r="K18" s="54" t="str">
        <f t="shared" si="3"/>
        <v>Logarítmica</v>
      </c>
      <c r="L18" s="54" t="str">
        <f t="shared" si="3"/>
        <v>Potencial</v>
      </c>
      <c r="M18" s="55" t="str">
        <f t="shared" si="3"/>
        <v>Exponencial</v>
      </c>
      <c r="O18" s="50" t="s">
        <v>3</v>
      </c>
      <c r="P18" s="54" t="s">
        <v>81</v>
      </c>
      <c r="Q18" s="54" t="str">
        <f>P3</f>
        <v>Aritmético</v>
      </c>
      <c r="R18" s="54" t="s">
        <v>77</v>
      </c>
      <c r="S18" s="54" t="s">
        <v>79</v>
      </c>
      <c r="T18" s="55" t="s">
        <v>80</v>
      </c>
    </row>
    <row r="19" spans="2:20" x14ac:dyDescent="0.45">
      <c r="B19" s="47" t="s">
        <v>66</v>
      </c>
      <c r="C19" s="3" t="str">
        <f>Censal!$B$2</f>
        <v>Municipio</v>
      </c>
      <c r="D19" s="53">
        <f>+MAX(Censal!C2:C6)+$C$17</f>
        <v>2021</v>
      </c>
      <c r="E19" s="16">
        <f>ROUND($E$4*$D19+$E$5,0)</f>
        <v>2597</v>
      </c>
      <c r="F19" s="16">
        <f>ROUND($F$4*$D19^2+$F$5*$D19+$F$6,0)</f>
        <v>2330</v>
      </c>
      <c r="G19" s="16">
        <f>ROUND($G$4*$D19^3+$G$5*$D19^2+$G$6*$D19+$G$7,0)</f>
        <v>2579</v>
      </c>
      <c r="H19" s="16">
        <f>ROUND($H$4*$D19^4+$H$5*$D19^3+$H$6*$D19^2+$H$7*$D19+$H$8,0)</f>
        <v>2581</v>
      </c>
      <c r="I19" s="16">
        <f>ROUND($I$4*$D19^5+$I$5*$D19^4+$I$6*$D19^3+$I$7*$D19^2+$I$8*$D19+$I$9,0)</f>
        <v>2584</v>
      </c>
      <c r="J19" s="16">
        <f>ROUND($J$4*$D19^6+$J$5*$D19^5+$J$6*$D19^4+$J$7*$D19^3+$J$8*$D19^2+$J$9*$D19+$J$10,0)</f>
        <v>2586</v>
      </c>
      <c r="K19" s="16">
        <f>ROUND($K$4*LN(D19)+$K$5,0)</f>
        <v>2596</v>
      </c>
      <c r="L19" s="16">
        <f>ROUND(10^$L$5*$D19^$L$4,0)</f>
        <v>2707</v>
      </c>
      <c r="M19" s="17">
        <f>ROUND($M$5*EXP($M$4*$D19),0)</f>
        <v>2708</v>
      </c>
      <c r="O19" s="62">
        <f>+D19</f>
        <v>2021</v>
      </c>
      <c r="P19" s="53">
        <v>2586</v>
      </c>
      <c r="Q19" s="53">
        <f>ROUND(Censal!$D$6+($P$10*Censal!$D$6*(O19-Censal!$C$6)),0)</f>
        <v>2522</v>
      </c>
      <c r="R19" s="53">
        <f>ROUND(Censal!$D$6*(1+ProyectadaTotal!$Q$4)^(ProyectadaTotal!O19-Censal!$C$6),0)</f>
        <v>2550</v>
      </c>
      <c r="S19" s="53">
        <f>ROUND(Censal!$D$2*EXP(ProyectadaTotal!$R$10*(ProyectadaTotal!O19-Censal!$C$2)),0)</f>
        <v>2667</v>
      </c>
      <c r="T19" s="17">
        <f>ROUND(Censal!$D$2*(200+(ProyectadaTotal!$S$10*100*(ProyectadaTotal!O19-Censal!$C$2)))/(200-(ProyectadaTotal!$S$10*100*(ProyectadaTotal!O19-Censal!$C$2))),0)</f>
        <v>1978</v>
      </c>
    </row>
    <row r="20" spans="2:20" x14ac:dyDescent="0.45">
      <c r="B20" s="10" t="str">
        <f>B19</f>
        <v>Proyectada</v>
      </c>
      <c r="C20" s="3" t="str">
        <f>Censal!$B$2</f>
        <v>Municipio</v>
      </c>
      <c r="D20" s="53">
        <f t="shared" ref="D20:D25" si="4">+D19+$C$17</f>
        <v>2024</v>
      </c>
      <c r="E20" s="16">
        <f>ROUND($E$4*$D20+$E$5,0)</f>
        <v>2664</v>
      </c>
      <c r="F20" s="16">
        <f>ROUND($F$4*$D20^2+$F$5*$D20+$F$6,0)</f>
        <v>2288</v>
      </c>
      <c r="G20" s="16">
        <f>ROUND($G$4*$D20^3+$G$5*$D20^2+$G$6*$D20+$G$7,0)</f>
        <v>2781</v>
      </c>
      <c r="H20" s="16">
        <f t="shared" ref="H20:H29" si="5">ROUND($H$4*$D20^4+$H$5*$D20^3+$H$6*$D20^2+$H$7*$D20+$H$8,0)</f>
        <v>2786</v>
      </c>
      <c r="I20" s="16">
        <f t="shared" ref="I20:I29" si="6">ROUND($I$4*$D20^5+$I$5*$D20^4+$I$6*$D20^3+$I$7*$D20^2+$I$8*$D20+$I$9,0)</f>
        <v>2791</v>
      </c>
      <c r="J20" s="16">
        <f t="shared" ref="J20:J29" si="7">ROUND($J$4*$D20^6+$J$5*$D20^5+$J$6*$D20^4+$J$7*$D20^3+$J$8*$D20^2+$J$9*$D20+$J$10,0)</f>
        <v>2797</v>
      </c>
      <c r="K20" s="16">
        <f t="shared" ref="K20:K29" si="8">ROUND($K$4*LN(D20)+$K$5,0)</f>
        <v>2662</v>
      </c>
      <c r="L20" s="16">
        <f t="shared" ref="L20:L29" si="9">ROUND(10^$L$5*$D20^$L$4,0)</f>
        <v>2806</v>
      </c>
      <c r="M20" s="17">
        <f t="shared" ref="M20:M29" si="10">ROUND($M$5*EXP($M$4*$D20),0)</f>
        <v>2809</v>
      </c>
      <c r="O20" s="62">
        <f>+O19+$C$17</f>
        <v>2024</v>
      </c>
      <c r="P20" s="53">
        <v>2769</v>
      </c>
      <c r="Q20" s="53">
        <f>ROUND(Censal!$D$6+($P$10*Censal!$D$6*(O20-Censal!$C$6)),0)</f>
        <v>2601</v>
      </c>
      <c r="R20" s="53">
        <f>ROUND(Censal!$D$6*(1+ProyectadaTotal!$Q$4)^(ProyectadaTotal!O20-Censal!$C$6),0)</f>
        <v>2660</v>
      </c>
      <c r="S20" s="53">
        <f>ROUND(Censal!$D$2*EXP(ProyectadaTotal!$R$10*(ProyectadaTotal!O20-Censal!$C$2)),0)</f>
        <v>2790</v>
      </c>
      <c r="T20" s="17">
        <f>ROUND(Censal!$D$2*(200+(ProyectadaTotal!$S$10*100*(ProyectadaTotal!O20-Censal!$C$2)))/(200-(ProyectadaTotal!$S$10*100*(ProyectadaTotal!O20-Censal!$C$2))),0)</f>
        <v>2033</v>
      </c>
    </row>
    <row r="21" spans="2:20" x14ac:dyDescent="0.45">
      <c r="B21" s="10" t="str">
        <f t="shared" ref="B21:B29" si="11">B20</f>
        <v>Proyectada</v>
      </c>
      <c r="C21" s="3" t="str">
        <f>Censal!$B$2</f>
        <v>Municipio</v>
      </c>
      <c r="D21" s="53">
        <f t="shared" si="4"/>
        <v>2027</v>
      </c>
      <c r="E21" s="16">
        <f>ROUND($E$4*$D21+$E$5,0)</f>
        <v>2731</v>
      </c>
      <c r="F21" s="16">
        <f t="shared" ref="F21:F29" si="12">ROUND($F$4*$D21^2+$F$5*$D21+$F$6,0)</f>
        <v>2234</v>
      </c>
      <c r="G21" s="16">
        <f>ROUND($G$4*$D21^3+$G$5*$D21^2+$G$6*$D21+$G$7,0)</f>
        <v>3041</v>
      </c>
      <c r="H21" s="16">
        <f t="shared" si="5"/>
        <v>3051</v>
      </c>
      <c r="I21" s="16">
        <f t="shared" si="6"/>
        <v>3060</v>
      </c>
      <c r="J21" s="16">
        <f t="shared" si="7"/>
        <v>3070</v>
      </c>
      <c r="K21" s="16">
        <f t="shared" si="8"/>
        <v>2728</v>
      </c>
      <c r="L21" s="16">
        <f t="shared" si="9"/>
        <v>2910</v>
      </c>
      <c r="M21" s="17">
        <f t="shared" si="10"/>
        <v>2914</v>
      </c>
      <c r="O21" s="62">
        <f t="shared" ref="O21:O29" si="13">+O20+$C$17</f>
        <v>2027</v>
      </c>
      <c r="P21" s="53">
        <v>2882</v>
      </c>
      <c r="Q21" s="53">
        <f>ROUND(Censal!$D$6+($P$10*Censal!$D$6*(O21-Censal!$C$6)),0)</f>
        <v>2679</v>
      </c>
      <c r="R21" s="53">
        <f>ROUND(Censal!$D$6*(1+ProyectadaTotal!$Q$4)^(ProyectadaTotal!O21-Censal!$C$6),0)</f>
        <v>2775</v>
      </c>
      <c r="S21" s="53">
        <f>ROUND(Censal!$D$2*EXP(ProyectadaTotal!$R$10*(ProyectadaTotal!O21-Censal!$C$2)),0)</f>
        <v>2919</v>
      </c>
      <c r="T21" s="17">
        <f>ROUND(Censal!$D$2*(200+(ProyectadaTotal!$S$10*100*(ProyectadaTotal!O21-Censal!$C$2)))/(200-(ProyectadaTotal!$S$10*100*(ProyectadaTotal!O21-Censal!$C$2))),0)</f>
        <v>2089</v>
      </c>
    </row>
    <row r="22" spans="2:20" x14ac:dyDescent="0.45">
      <c r="B22" s="10" t="str">
        <f t="shared" si="11"/>
        <v>Proyectada</v>
      </c>
      <c r="C22" s="3" t="str">
        <f>Censal!$B$2</f>
        <v>Municipio</v>
      </c>
      <c r="D22" s="53">
        <f t="shared" si="4"/>
        <v>2030</v>
      </c>
      <c r="E22" s="16">
        <f>ROUND($E$4*$D22+$E$5,0)</f>
        <v>2798</v>
      </c>
      <c r="F22" s="16">
        <f>ROUND($F$4*$D22^2+$F$5*$D22+$F$6,0)</f>
        <v>2168</v>
      </c>
      <c r="G22" s="16">
        <f>ROUND($G$4*$D22^3+$G$5*$D22^2+$G$6*$D22+$G$7,0)</f>
        <v>3366</v>
      </c>
      <c r="H22" s="16">
        <f t="shared" si="5"/>
        <v>3382</v>
      </c>
      <c r="I22" s="16">
        <f t="shared" si="6"/>
        <v>3398</v>
      </c>
      <c r="J22" s="16">
        <f t="shared" si="7"/>
        <v>3415</v>
      </c>
      <c r="K22" s="16">
        <f t="shared" si="8"/>
        <v>2794</v>
      </c>
      <c r="L22" s="16">
        <f t="shared" si="9"/>
        <v>3017</v>
      </c>
      <c r="M22" s="17">
        <f t="shared" si="10"/>
        <v>3023</v>
      </c>
      <c r="O22" s="62">
        <f t="shared" si="13"/>
        <v>2030</v>
      </c>
      <c r="P22" s="53">
        <v>2975</v>
      </c>
      <c r="Q22" s="53">
        <f>ROUND(Censal!$D$6+($P$10*Censal!$D$6*(O22-Censal!$C$6)),0)</f>
        <v>2758</v>
      </c>
      <c r="R22" s="53">
        <f>ROUND(Censal!$D$6*(1+ProyectadaTotal!$Q$4)^(ProyectadaTotal!O22-Censal!$C$6),0)</f>
        <v>2894</v>
      </c>
      <c r="S22" s="53">
        <f>ROUND(Censal!$D$2*EXP(ProyectadaTotal!$R$10*(ProyectadaTotal!O22-Censal!$C$2)),0)</f>
        <v>3054</v>
      </c>
      <c r="T22" s="17">
        <f>ROUND(Censal!$D$2*(200+(ProyectadaTotal!$S$10*100*(ProyectadaTotal!O22-Censal!$C$2)))/(200-(ProyectadaTotal!$S$10*100*(ProyectadaTotal!O22-Censal!$C$2))),0)</f>
        <v>2148</v>
      </c>
    </row>
    <row r="23" spans="2:20" x14ac:dyDescent="0.45">
      <c r="B23" s="10" t="str">
        <f t="shared" si="11"/>
        <v>Proyectada</v>
      </c>
      <c r="C23" s="3" t="str">
        <f>Censal!$B$2</f>
        <v>Municipio</v>
      </c>
      <c r="D23" s="53">
        <f t="shared" si="4"/>
        <v>2033</v>
      </c>
      <c r="E23" s="16">
        <f t="shared" ref="E20:E29" si="14">ROUND($E$4*$D23+$E$5,0)</f>
        <v>2865</v>
      </c>
      <c r="F23" s="16">
        <f>ROUND($F$4*$D23^2+$F$5*$D23+$F$6,0)</f>
        <v>2089</v>
      </c>
      <c r="G23" s="16">
        <f t="shared" ref="G23:G29" si="15">ROUND($G$4*$D23^3+$G$5*$D23^2+$G$6*$D23+$G$7,0)</f>
        <v>3764</v>
      </c>
      <c r="H23" s="16">
        <f t="shared" si="5"/>
        <v>3788</v>
      </c>
      <c r="I23" s="16">
        <f t="shared" si="6"/>
        <v>3813</v>
      </c>
      <c r="J23" s="16">
        <f t="shared" si="7"/>
        <v>3839</v>
      </c>
      <c r="K23" s="16">
        <f t="shared" si="8"/>
        <v>2859</v>
      </c>
      <c r="L23" s="16">
        <f t="shared" si="9"/>
        <v>3127</v>
      </c>
      <c r="M23" s="17">
        <f t="shared" si="10"/>
        <v>3136</v>
      </c>
      <c r="O23" s="62">
        <f t="shared" si="13"/>
        <v>2033</v>
      </c>
      <c r="P23" s="53">
        <v>3031</v>
      </c>
      <c r="Q23" s="53">
        <f>ROUND(Censal!$D$6+($P$10*Censal!$D$6*(O23-Censal!$C$6)),0)</f>
        <v>2836</v>
      </c>
      <c r="R23" s="53">
        <f>ROUND(Censal!$D$6*(1+ProyectadaTotal!$Q$4)^(ProyectadaTotal!O23-Censal!$C$6),0)</f>
        <v>3019</v>
      </c>
      <c r="S23" s="53">
        <f>ROUND(Censal!$D$2*EXP(ProyectadaTotal!$R$10*(ProyectadaTotal!O23-Censal!$C$2)),0)</f>
        <v>3195</v>
      </c>
      <c r="T23" s="17">
        <f>ROUND(Censal!$D$2*(200+(ProyectadaTotal!$S$10*100*(ProyectadaTotal!O23-Censal!$C$2)))/(200-(ProyectadaTotal!$S$10*100*(ProyectadaTotal!O23-Censal!$C$2))),0)</f>
        <v>2208</v>
      </c>
    </row>
    <row r="24" spans="2:20" x14ac:dyDescent="0.45">
      <c r="B24" s="10" t="str">
        <f t="shared" si="11"/>
        <v>Proyectada</v>
      </c>
      <c r="C24" s="3" t="str">
        <f>Censal!$B$2</f>
        <v>Municipio</v>
      </c>
      <c r="D24" s="53">
        <f t="shared" si="4"/>
        <v>2036</v>
      </c>
      <c r="E24" s="16">
        <f t="shared" si="14"/>
        <v>2931</v>
      </c>
      <c r="F24" s="16">
        <f t="shared" si="12"/>
        <v>1998</v>
      </c>
      <c r="G24" s="16">
        <f t="shared" si="15"/>
        <v>4241</v>
      </c>
      <c r="H24" s="16">
        <f t="shared" si="5"/>
        <v>4277</v>
      </c>
      <c r="I24" s="16">
        <f t="shared" si="6"/>
        <v>4314</v>
      </c>
      <c r="J24" s="16">
        <f t="shared" si="7"/>
        <v>4351</v>
      </c>
      <c r="K24" s="16">
        <f t="shared" si="8"/>
        <v>2925</v>
      </c>
      <c r="L24" s="16">
        <f t="shared" si="9"/>
        <v>3242</v>
      </c>
      <c r="M24" s="17">
        <f t="shared" si="10"/>
        <v>3253</v>
      </c>
      <c r="O24" s="62">
        <f t="shared" si="13"/>
        <v>2036</v>
      </c>
      <c r="P24" s="53">
        <v>3080</v>
      </c>
      <c r="Q24" s="53">
        <f>ROUND(Censal!$D$6+($P$10*Censal!$D$6*(O24-Censal!$C$6)),0)</f>
        <v>2915</v>
      </c>
      <c r="R24" s="53">
        <f>ROUND(Censal!$D$6*(1+ProyectadaTotal!$Q$4)^(ProyectadaTotal!O24-Censal!$C$6),0)</f>
        <v>3150</v>
      </c>
      <c r="S24" s="53">
        <f>ROUND(Censal!$D$2*EXP(ProyectadaTotal!$R$10*(ProyectadaTotal!O24-Censal!$C$2)),0)</f>
        <v>3342</v>
      </c>
      <c r="T24" s="17">
        <f>ROUND(Censal!$D$2*(200+(ProyectadaTotal!$S$10*100*(ProyectadaTotal!O24-Censal!$C$2)))/(200-(ProyectadaTotal!$S$10*100*(ProyectadaTotal!O24-Censal!$C$2))),0)</f>
        <v>2271</v>
      </c>
    </row>
    <row r="25" spans="2:20" x14ac:dyDescent="0.45">
      <c r="B25" s="10" t="str">
        <f t="shared" si="11"/>
        <v>Proyectada</v>
      </c>
      <c r="C25" s="3" t="str">
        <f>Censal!$B$2</f>
        <v>Municipio</v>
      </c>
      <c r="D25" s="53">
        <f t="shared" si="4"/>
        <v>2039</v>
      </c>
      <c r="E25" s="16">
        <f t="shared" si="14"/>
        <v>2998</v>
      </c>
      <c r="F25" s="16">
        <f t="shared" si="12"/>
        <v>1896</v>
      </c>
      <c r="G25" s="16">
        <f t="shared" si="15"/>
        <v>4806</v>
      </c>
      <c r="H25" s="16">
        <f t="shared" si="5"/>
        <v>4856</v>
      </c>
      <c r="I25" s="16">
        <f t="shared" si="6"/>
        <v>4907</v>
      </c>
      <c r="J25" s="16">
        <f t="shared" si="7"/>
        <v>4960</v>
      </c>
      <c r="K25" s="16">
        <f t="shared" si="8"/>
        <v>2991</v>
      </c>
      <c r="L25" s="16">
        <f t="shared" si="9"/>
        <v>3361</v>
      </c>
      <c r="M25" s="17">
        <f t="shared" si="10"/>
        <v>3374</v>
      </c>
      <c r="O25" s="62">
        <f t="shared" si="13"/>
        <v>2039</v>
      </c>
      <c r="P25" s="53"/>
      <c r="Q25" s="53">
        <f>ROUND(Censal!$D$6+($P$10*Censal!$D$6*(O25-Censal!$C$6)),0)</f>
        <v>2993</v>
      </c>
      <c r="R25" s="53">
        <f>ROUND(Censal!$D$6*(1+ProyectadaTotal!$Q$4)^(ProyectadaTotal!O25-Censal!$C$6),0)</f>
        <v>3286</v>
      </c>
      <c r="S25" s="53">
        <f>ROUND(Censal!$D$2*EXP(ProyectadaTotal!$R$10*(ProyectadaTotal!O25-Censal!$C$2)),0)</f>
        <v>3496</v>
      </c>
      <c r="T25" s="17">
        <f>ROUND(Censal!$D$2*(200+(ProyectadaTotal!$S$10*100*(ProyectadaTotal!O25-Censal!$C$2)))/(200-(ProyectadaTotal!$S$10*100*(ProyectadaTotal!O25-Censal!$C$2))),0)</f>
        <v>2336</v>
      </c>
    </row>
    <row r="26" spans="2:20" x14ac:dyDescent="0.45">
      <c r="B26" s="10" t="str">
        <f t="shared" si="11"/>
        <v>Proyectada</v>
      </c>
      <c r="C26" s="3" t="str">
        <f>Censal!$B$2</f>
        <v>Municipio</v>
      </c>
      <c r="D26" s="53">
        <f t="shared" ref="D26:D29" si="16">D25+$C$17</f>
        <v>2042</v>
      </c>
      <c r="E26" s="16">
        <f t="shared" si="14"/>
        <v>3065</v>
      </c>
      <c r="F26" s="16">
        <f t="shared" si="12"/>
        <v>1781</v>
      </c>
      <c r="G26" s="16">
        <f t="shared" si="15"/>
        <v>5466</v>
      </c>
      <c r="H26" s="16">
        <f t="shared" si="5"/>
        <v>5534</v>
      </c>
      <c r="I26" s="16">
        <f t="shared" si="6"/>
        <v>5603</v>
      </c>
      <c r="J26" s="16">
        <f t="shared" si="7"/>
        <v>5674</v>
      </c>
      <c r="K26" s="16">
        <f t="shared" si="8"/>
        <v>3056</v>
      </c>
      <c r="L26" s="16">
        <f t="shared" si="9"/>
        <v>3484</v>
      </c>
      <c r="M26" s="17">
        <f t="shared" si="10"/>
        <v>3500</v>
      </c>
      <c r="O26" s="62">
        <f t="shared" si="13"/>
        <v>2042</v>
      </c>
      <c r="P26" s="53"/>
      <c r="Q26" s="53">
        <f>ROUND(Censal!$D$6+($P$10*Censal!$D$6*(O26-Censal!$C$6)),0)</f>
        <v>3072</v>
      </c>
      <c r="R26" s="53">
        <f>ROUND(Censal!$D$6*(1+ProyectadaTotal!$Q$4)^(ProyectadaTotal!O26-Censal!$C$6),0)</f>
        <v>3428</v>
      </c>
      <c r="S26" s="53">
        <f>ROUND(Censal!$D$2*EXP(ProyectadaTotal!$R$10*(ProyectadaTotal!O26-Censal!$C$2)),0)</f>
        <v>3658</v>
      </c>
      <c r="T26" s="17">
        <f>ROUND(Censal!$D$2*(200+(ProyectadaTotal!$S$10*100*(ProyectadaTotal!O26-Censal!$C$2)))/(200-(ProyectadaTotal!$S$10*100*(ProyectadaTotal!O26-Censal!$C$2))),0)</f>
        <v>2404</v>
      </c>
    </row>
    <row r="27" spans="2:20" x14ac:dyDescent="0.45">
      <c r="B27" s="10" t="str">
        <f t="shared" si="11"/>
        <v>Proyectada</v>
      </c>
      <c r="C27" s="3" t="str">
        <f>Censal!$B$2</f>
        <v>Municipio</v>
      </c>
      <c r="D27" s="53">
        <f t="shared" si="16"/>
        <v>2045</v>
      </c>
      <c r="E27" s="16">
        <f t="shared" si="14"/>
        <v>3132</v>
      </c>
      <c r="F27" s="16">
        <f t="shared" si="12"/>
        <v>1653</v>
      </c>
      <c r="G27" s="16">
        <f t="shared" si="15"/>
        <v>6227</v>
      </c>
      <c r="H27" s="16">
        <f t="shared" si="5"/>
        <v>6317</v>
      </c>
      <c r="I27" s="16">
        <f t="shared" si="6"/>
        <v>6409</v>
      </c>
      <c r="J27" s="16">
        <f t="shared" si="7"/>
        <v>6503</v>
      </c>
      <c r="K27" s="16">
        <f t="shared" si="8"/>
        <v>3121</v>
      </c>
      <c r="L27" s="16">
        <f t="shared" si="9"/>
        <v>3611</v>
      </c>
      <c r="M27" s="17">
        <f t="shared" si="10"/>
        <v>3631</v>
      </c>
      <c r="O27" s="62">
        <f t="shared" si="13"/>
        <v>2045</v>
      </c>
      <c r="P27" s="53"/>
      <c r="Q27" s="53">
        <f>ROUND(Censal!$D$6+($P$10*Censal!$D$6*(O27-Censal!$C$6)),0)</f>
        <v>3150</v>
      </c>
      <c r="R27" s="53">
        <f>ROUND(Censal!$D$6*(1+ProyectadaTotal!$Q$4)^(ProyectadaTotal!O27-Censal!$C$6),0)</f>
        <v>3576</v>
      </c>
      <c r="S27" s="53">
        <f>ROUND(Censal!$D$2*EXP(ProyectadaTotal!$R$10*(ProyectadaTotal!O27-Censal!$C$2)),0)</f>
        <v>3826</v>
      </c>
      <c r="T27" s="17">
        <f>ROUND(Censal!$D$2*(200+(ProyectadaTotal!$S$10*100*(ProyectadaTotal!O27-Censal!$C$2)))/(200-(ProyectadaTotal!$S$10*100*(ProyectadaTotal!O27-Censal!$C$2))),0)</f>
        <v>2474</v>
      </c>
    </row>
    <row r="28" spans="2:20" x14ac:dyDescent="0.45">
      <c r="B28" s="10" t="str">
        <f t="shared" si="11"/>
        <v>Proyectada</v>
      </c>
      <c r="C28" s="3" t="str">
        <f>Censal!$B$2</f>
        <v>Municipio</v>
      </c>
      <c r="D28" s="53">
        <f t="shared" si="16"/>
        <v>2048</v>
      </c>
      <c r="E28" s="16">
        <f t="shared" si="14"/>
        <v>3199</v>
      </c>
      <c r="F28" s="16">
        <f t="shared" si="12"/>
        <v>1514</v>
      </c>
      <c r="G28" s="16">
        <f t="shared" si="15"/>
        <v>7098</v>
      </c>
      <c r="H28" s="16">
        <f t="shared" si="5"/>
        <v>7214</v>
      </c>
      <c r="I28" s="16">
        <f t="shared" si="6"/>
        <v>7334</v>
      </c>
      <c r="J28" s="16">
        <f t="shared" si="7"/>
        <v>7456</v>
      </c>
      <c r="K28" s="16">
        <f t="shared" si="8"/>
        <v>3187</v>
      </c>
      <c r="L28" s="16">
        <f t="shared" si="9"/>
        <v>3742</v>
      </c>
      <c r="M28" s="17">
        <f t="shared" si="10"/>
        <v>3766</v>
      </c>
      <c r="O28" s="62">
        <f t="shared" si="13"/>
        <v>2048</v>
      </c>
      <c r="P28" s="53"/>
      <c r="Q28" s="53">
        <f>ROUND(Censal!$D$6+($P$10*Censal!$D$6*(O28-Censal!$C$6)),0)</f>
        <v>3229</v>
      </c>
      <c r="R28" s="53">
        <f>ROUND(Censal!$D$6*(1+ProyectadaTotal!$Q$4)^(ProyectadaTotal!O28-Censal!$C$6),0)</f>
        <v>3730</v>
      </c>
      <c r="S28" s="16">
        <f>ROUND(Censal!$D$2*EXP(ProyectadaTotal!$R$10*(ProyectadaTotal!O28-Censal!$C$2)),0)</f>
        <v>4003</v>
      </c>
      <c r="T28" s="17">
        <f>ROUND(Censal!$D$2*(200+(ProyectadaTotal!$S$10*100*(ProyectadaTotal!O28-Censal!$C$2)))/(200-(ProyectadaTotal!$S$10*100*(ProyectadaTotal!O28-Censal!$C$2))),0)</f>
        <v>2546</v>
      </c>
    </row>
    <row r="29" spans="2:20" x14ac:dyDescent="0.45">
      <c r="B29" s="11" t="str">
        <f t="shared" si="11"/>
        <v>Proyectada</v>
      </c>
      <c r="C29" s="4" t="str">
        <f>Censal!$B$2</f>
        <v>Municipio</v>
      </c>
      <c r="D29" s="58">
        <f t="shared" si="16"/>
        <v>2051</v>
      </c>
      <c r="E29" s="56">
        <f t="shared" si="14"/>
        <v>3266</v>
      </c>
      <c r="F29" s="56">
        <f t="shared" si="12"/>
        <v>1362</v>
      </c>
      <c r="G29" s="56">
        <f t="shared" si="15"/>
        <v>8085</v>
      </c>
      <c r="H29" s="56">
        <f t="shared" si="5"/>
        <v>8233</v>
      </c>
      <c r="I29" s="56">
        <f t="shared" si="6"/>
        <v>8385</v>
      </c>
      <c r="J29" s="56">
        <f t="shared" si="7"/>
        <v>8541</v>
      </c>
      <c r="K29" s="56">
        <f t="shared" si="8"/>
        <v>3252</v>
      </c>
      <c r="L29" s="56">
        <f t="shared" si="9"/>
        <v>3878</v>
      </c>
      <c r="M29" s="57">
        <f t="shared" si="10"/>
        <v>3907</v>
      </c>
      <c r="O29" s="63">
        <f t="shared" si="13"/>
        <v>2051</v>
      </c>
      <c r="P29" s="56"/>
      <c r="Q29" s="56">
        <f>ROUND(Censal!$D$6+($P$10*Censal!$D$6*(O29-Censal!$C$6)),0)</f>
        <v>3307</v>
      </c>
      <c r="R29" s="56">
        <f>ROUND(Censal!$D$6*(1+ProyectadaTotal!$Q$4)^(ProyectadaTotal!O29-Censal!$C$6),0)</f>
        <v>3892</v>
      </c>
      <c r="S29" s="56">
        <f>ROUND(Censal!$D$2*EXP(ProyectadaTotal!$R$10*(ProyectadaTotal!O29-Censal!$C$2)),0)</f>
        <v>4188</v>
      </c>
      <c r="T29" s="57">
        <f>ROUND(Censal!$D$2*(200+(ProyectadaTotal!$S$10*100*(ProyectadaTotal!O29-Censal!$C$2)))/(200-(ProyectadaTotal!$S$10*100*(ProyectadaTotal!O29-Censal!$C$2))),0)</f>
        <v>2622</v>
      </c>
    </row>
    <row r="30" spans="2:20" x14ac:dyDescent="0.45">
      <c r="D30" s="9"/>
    </row>
    <row r="31" spans="2:20" x14ac:dyDescent="0.45">
      <c r="B31" s="2" t="s">
        <v>64</v>
      </c>
      <c r="D31" s="9"/>
      <c r="O31" s="68">
        <v>1973</v>
      </c>
      <c r="P31" s="69">
        <f>+Censal!D2</f>
        <v>1296</v>
      </c>
      <c r="Q31" s="69">
        <f>ROUND(Censal!$D$6+($P$10*Censal!$D$6*(O31-Censal!$C$6)),0)</f>
        <v>1267</v>
      </c>
      <c r="R31" s="69">
        <f>ROUND(Censal!$D$6*(1+ProyectadaTotal!$Q$4)^(ProyectadaTotal!O31-Censal!$C$6),0)</f>
        <v>1296</v>
      </c>
      <c r="S31" s="69">
        <f>ROUND(Censal!$D$2*EXP(ProyectadaTotal!$R$10*(ProyectadaTotal!O31-Censal!$C$2)),0)</f>
        <v>1296</v>
      </c>
      <c r="T31" s="70">
        <f>ROUND(Censal!$D$2*(200+(ProyectadaTotal!$S$10*100*(ProyectadaTotal!O31-Censal!$C$2)))/(200-(ProyectadaTotal!$S$10*100*(ProyectadaTotal!O31-Censal!$C$2))),0)</f>
        <v>1296</v>
      </c>
    </row>
    <row r="32" spans="2:20" x14ac:dyDescent="0.45">
      <c r="B32" s="2" t="str">
        <f>_xlfn.CONCAT(Censal!A2," - Población censal ",Censal!B2," y población proyectada a ",D29-D19," años con diferentes tendencias")</f>
        <v>DANE - Población censal Municipio y población proyectada a 30 años con diferentes tendencias</v>
      </c>
      <c r="D32" s="9"/>
      <c r="O32" s="71">
        <v>1985</v>
      </c>
      <c r="P32" s="72">
        <f>+Censal!D3</f>
        <v>1903</v>
      </c>
      <c r="Q32" s="72">
        <f>ROUND(Censal!$D$6+($P$10*Censal!$D$6*(O32-Censal!$C$6)),0)</f>
        <v>1581</v>
      </c>
      <c r="R32" s="72">
        <f>ROUND(Censal!$D$6*(1+ProyectadaTotal!$Q$4)^(ProyectadaTotal!O32-Censal!$C$6),0)</f>
        <v>1535</v>
      </c>
      <c r="S32" s="72">
        <f>ROUND(Censal!$D$2*EXP(ProyectadaTotal!$R$10*(ProyectadaTotal!O32-Censal!$C$2)),0)</f>
        <v>1552</v>
      </c>
      <c r="T32" s="73">
        <f>ROUND(Censal!$D$2*(200+(ProyectadaTotal!$S$10*100*(ProyectadaTotal!O32-Censal!$C$2)))/(200-(ProyectadaTotal!$S$10*100*(ProyectadaTotal!O32-Censal!$C$2))),0)</f>
        <v>1438</v>
      </c>
    </row>
    <row r="33" spans="2:20" x14ac:dyDescent="0.45">
      <c r="B33" s="2" t="str">
        <f>_xlfn.CONCAT(Censal!A2," - Población censal ",Censal!B2," y población proyectada a ",D29-D19," años para el ajuste seleccionado")</f>
        <v>DANE - Población censal Municipio y población proyectada a 30 años para el ajuste seleccionado</v>
      </c>
      <c r="D33" s="9"/>
      <c r="O33" s="71">
        <v>1993</v>
      </c>
      <c r="P33" s="72">
        <f>+Censal!D4</f>
        <v>2319</v>
      </c>
      <c r="Q33" s="72">
        <f>ROUND(Censal!$D$6+($P$10*Censal!$D$6*(O33-Censal!$C$6)),0)</f>
        <v>1790</v>
      </c>
      <c r="R33" s="72">
        <f>ROUND(Censal!$D$6*(1+ProyectadaTotal!$Q$4)^(ProyectadaTotal!O33-Censal!$C$6),0)</f>
        <v>1718</v>
      </c>
      <c r="S33" s="72">
        <f>ROUND(Censal!$D$2*EXP(ProyectadaTotal!$R$10*(ProyectadaTotal!O33-Censal!$C$2)),0)</f>
        <v>1751</v>
      </c>
      <c r="T33" s="73">
        <f>ROUND(Censal!$D$2*(200+(ProyectadaTotal!$S$10*100*(ProyectadaTotal!O33-Censal!$C$2)))/(200-(ProyectadaTotal!$S$10*100*(ProyectadaTotal!O33-Censal!$C$2))),0)</f>
        <v>1542</v>
      </c>
    </row>
    <row r="34" spans="2:20" x14ac:dyDescent="0.45">
      <c r="B34" s="2" t="str">
        <f>_xlfn.CONCAT(Censal!A2," - Población censal municipal")</f>
        <v>DANE - Población censal municipal</v>
      </c>
      <c r="D34" s="9"/>
      <c r="O34" s="71">
        <v>2005</v>
      </c>
      <c r="P34" s="72">
        <f>+Censal!D5</f>
        <v>2106</v>
      </c>
      <c r="Q34" s="72">
        <f>ROUND(Censal!$D$6+($P$10*Censal!$D$6*(O34-Censal!$C$6)),0)</f>
        <v>2104</v>
      </c>
      <c r="R34" s="72">
        <f>ROUND(Censal!$D$6*(1+ProyectadaTotal!$Q$4)^(ProyectadaTotal!O34-Censal!$C$6),0)</f>
        <v>2035</v>
      </c>
      <c r="S34" s="72">
        <f>ROUND(Censal!$D$2*EXP(ProyectadaTotal!$R$10*(ProyectadaTotal!O34-Censal!$C$2)),0)</f>
        <v>2097</v>
      </c>
      <c r="T34" s="73">
        <f>ROUND(Censal!$D$2*(200+(ProyectadaTotal!$S$10*100*(ProyectadaTotal!O34-Censal!$C$2)))/(200-(ProyectadaTotal!$S$10*100*(ProyectadaTotal!O34-Censal!$C$2))),0)</f>
        <v>1714</v>
      </c>
    </row>
    <row r="35" spans="2:20" x14ac:dyDescent="0.45">
      <c r="D35" s="9"/>
      <c r="O35" s="74">
        <v>2018</v>
      </c>
      <c r="P35" s="75">
        <f>+Censal!D6</f>
        <v>2444</v>
      </c>
      <c r="Q35" s="75">
        <f>ROUND(Censal!$D$6+($P$10*Censal!$D$6*(O35-Censal!$C$6)),0)</f>
        <v>2444</v>
      </c>
      <c r="R35" s="75">
        <f>ROUND(Censal!$D$6*(1+ProyectadaTotal!$Q$4)^(ProyectadaTotal!O35-Censal!$C$6),0)</f>
        <v>2444</v>
      </c>
      <c r="S35" s="75">
        <f>ROUND(Censal!$D$2*EXP(ProyectadaTotal!$R$10*(ProyectadaTotal!O35-Censal!$C$2)),0)</f>
        <v>2550</v>
      </c>
      <c r="T35" s="76">
        <f>ROUND(Censal!$D$2*(200+(ProyectadaTotal!$S$10*100*(ProyectadaTotal!O35-Censal!$C$2)))/(200-(ProyectadaTotal!$S$10*100*(ProyectadaTotal!O35-Censal!$C$2))),0)</f>
        <v>1925</v>
      </c>
    </row>
    <row r="36" spans="2:20" x14ac:dyDescent="0.45">
      <c r="D36" s="9"/>
    </row>
    <row r="37" spans="2:20" x14ac:dyDescent="0.45">
      <c r="B37" s="2" t="s">
        <v>82</v>
      </c>
      <c r="D37" s="9"/>
    </row>
    <row r="38" spans="2:20" x14ac:dyDescent="0.45">
      <c r="D38" s="9"/>
    </row>
  </sheetData>
  <mergeCells count="1">
    <mergeCell ref="B3:C14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C757-E655-4AB9-91FA-E1AE22FE7E6A}">
  <dimension ref="A1:D18"/>
  <sheetViews>
    <sheetView showGridLines="0" zoomScale="145" zoomScaleNormal="145" workbookViewId="0">
      <pane ySplit="1" topLeftCell="A2" activePane="bottomLeft" state="frozen"/>
      <selection pane="bottomLeft" activeCell="D8" sqref="D8"/>
    </sheetView>
  </sheetViews>
  <sheetFormatPr defaultColWidth="9.265625" defaultRowHeight="16.5" x14ac:dyDescent="0.45"/>
  <cols>
    <col min="1" max="1" width="14.265625" style="2" customWidth="1"/>
    <col min="2" max="2" width="11.73046875" style="2" customWidth="1"/>
    <col min="3" max="3" width="8.265625" style="2" customWidth="1"/>
    <col min="4" max="4" width="10.73046875" style="2" customWidth="1"/>
    <col min="5" max="16384" width="9.265625" style="2"/>
  </cols>
  <sheetData>
    <row r="1" spans="1:4" x14ac:dyDescent="0.45">
      <c r="A1" s="6" t="str">
        <f>Censal!A1</f>
        <v>Fuente</v>
      </c>
      <c r="B1" s="6" t="str">
        <f>Censal!B1</f>
        <v>Zona</v>
      </c>
      <c r="C1" s="6" t="str">
        <f>Censal!C1</f>
        <v>Fecha</v>
      </c>
      <c r="D1" s="6" t="str">
        <f>Censal!D1</f>
        <v>PTotal</v>
      </c>
    </row>
    <row r="2" spans="1:4" x14ac:dyDescent="0.45">
      <c r="A2" s="2" t="str">
        <f>Censal!A2</f>
        <v>DANE</v>
      </c>
      <c r="B2" s="2" t="str">
        <f>Censal!B2</f>
        <v>Municipio</v>
      </c>
      <c r="C2" s="2">
        <f>Censal!C2</f>
        <v>1973</v>
      </c>
      <c r="D2" s="2">
        <f>Censal!D2</f>
        <v>1296</v>
      </c>
    </row>
    <row r="3" spans="1:4" x14ac:dyDescent="0.45">
      <c r="A3" s="2" t="str">
        <f>Censal!A3</f>
        <v>DANE</v>
      </c>
      <c r="B3" s="2" t="str">
        <f>Censal!B3</f>
        <v>Municipio</v>
      </c>
      <c r="C3" s="2">
        <f>Censal!C3</f>
        <v>1985</v>
      </c>
      <c r="D3" s="2">
        <f>Censal!D3</f>
        <v>1903</v>
      </c>
    </row>
    <row r="4" spans="1:4" x14ac:dyDescent="0.45">
      <c r="A4" s="2" t="str">
        <f>Censal!A4</f>
        <v>DANE</v>
      </c>
      <c r="B4" s="2" t="str">
        <f>Censal!B4</f>
        <v>Municipio</v>
      </c>
      <c r="C4" s="2">
        <f>Censal!C4</f>
        <v>1993</v>
      </c>
      <c r="D4" s="2">
        <f>Censal!D4</f>
        <v>2319</v>
      </c>
    </row>
    <row r="5" spans="1:4" x14ac:dyDescent="0.45">
      <c r="A5" s="2" t="str">
        <f>Censal!A5</f>
        <v>DANE</v>
      </c>
      <c r="B5" s="2" t="str">
        <f>Censal!B5</f>
        <v>Municipio</v>
      </c>
      <c r="C5" s="2">
        <f>Censal!C5</f>
        <v>2005</v>
      </c>
      <c r="D5" s="2">
        <f>Censal!D5</f>
        <v>2106</v>
      </c>
    </row>
    <row r="6" spans="1:4" x14ac:dyDescent="0.45">
      <c r="A6" s="2" t="str">
        <f>Censal!A6</f>
        <v>DANE</v>
      </c>
      <c r="B6" s="2" t="str">
        <f>Censal!B6</f>
        <v>Municipio</v>
      </c>
      <c r="C6" s="2">
        <f>Censal!C6</f>
        <v>2018</v>
      </c>
      <c r="D6" s="2">
        <f>Censal!D6</f>
        <v>2444</v>
      </c>
    </row>
    <row r="7" spans="1:4" x14ac:dyDescent="0.45">
      <c r="A7" s="2" t="str">
        <f>Censal!A6</f>
        <v>DANE</v>
      </c>
      <c r="B7" s="2" t="str">
        <f>Censal!B6</f>
        <v>Municipio</v>
      </c>
      <c r="C7" s="2">
        <f>Censal!C6</f>
        <v>2018</v>
      </c>
      <c r="D7" s="2">
        <f>Censal!D6</f>
        <v>2444</v>
      </c>
    </row>
    <row r="8" spans="1:4" x14ac:dyDescent="0.45">
      <c r="A8" s="2" t="str">
        <f>ProyectadaTotal!B19</f>
        <v>Proyectada</v>
      </c>
      <c r="B8" s="2" t="str">
        <f>ProyectadaTotal!C19</f>
        <v>Municipio</v>
      </c>
      <c r="C8" s="2">
        <f>ProyectadaTotal!D19</f>
        <v>2021</v>
      </c>
      <c r="D8" s="9">
        <f>+AVERAGE(ProyectadaTotal!K19,ProyectadaTotal!Q19)</f>
        <v>2559</v>
      </c>
    </row>
    <row r="9" spans="1:4" x14ac:dyDescent="0.45">
      <c r="A9" s="2" t="str">
        <f>ProyectadaTotal!B20</f>
        <v>Proyectada</v>
      </c>
      <c r="B9" s="2" t="str">
        <f>ProyectadaTotal!C20</f>
        <v>Municipio</v>
      </c>
      <c r="C9" s="2">
        <f>ProyectadaTotal!D20</f>
        <v>2024</v>
      </c>
      <c r="D9" s="9">
        <f>+AVERAGE(ProyectadaTotal!K20,ProyectadaTotal!Q20)</f>
        <v>2631.5</v>
      </c>
    </row>
    <row r="10" spans="1:4" x14ac:dyDescent="0.45">
      <c r="A10" s="2" t="str">
        <f>ProyectadaTotal!B21</f>
        <v>Proyectada</v>
      </c>
      <c r="B10" s="2" t="str">
        <f>ProyectadaTotal!C21</f>
        <v>Municipio</v>
      </c>
      <c r="C10" s="2">
        <f>ProyectadaTotal!D21</f>
        <v>2027</v>
      </c>
      <c r="D10" s="9">
        <f>+AVERAGE(ProyectadaTotal!K21,ProyectadaTotal!Q21)</f>
        <v>2703.5</v>
      </c>
    </row>
    <row r="11" spans="1:4" x14ac:dyDescent="0.45">
      <c r="A11" s="2" t="str">
        <f>ProyectadaTotal!B22</f>
        <v>Proyectada</v>
      </c>
      <c r="B11" s="2" t="str">
        <f>ProyectadaTotal!C22</f>
        <v>Municipio</v>
      </c>
      <c r="C11" s="2">
        <f>ProyectadaTotal!D22</f>
        <v>2030</v>
      </c>
      <c r="D11" s="9">
        <f>+AVERAGE(ProyectadaTotal!K22,ProyectadaTotal!Q22)</f>
        <v>2776</v>
      </c>
    </row>
    <row r="12" spans="1:4" x14ac:dyDescent="0.45">
      <c r="A12" s="2" t="str">
        <f>ProyectadaTotal!B23</f>
        <v>Proyectada</v>
      </c>
      <c r="B12" s="2" t="str">
        <f>ProyectadaTotal!C23</f>
        <v>Municipio</v>
      </c>
      <c r="C12" s="2">
        <f>ProyectadaTotal!D23</f>
        <v>2033</v>
      </c>
      <c r="D12" s="9">
        <f>+AVERAGE(ProyectadaTotal!K23,ProyectadaTotal!Q23)</f>
        <v>2847.5</v>
      </c>
    </row>
    <row r="13" spans="1:4" x14ac:dyDescent="0.45">
      <c r="A13" s="2" t="str">
        <f>ProyectadaTotal!B24</f>
        <v>Proyectada</v>
      </c>
      <c r="B13" s="2" t="str">
        <f>ProyectadaTotal!C24</f>
        <v>Municipio</v>
      </c>
      <c r="C13" s="2">
        <f>ProyectadaTotal!D24</f>
        <v>2036</v>
      </c>
      <c r="D13" s="9">
        <f>+AVERAGE(ProyectadaTotal!K24,ProyectadaTotal!Q24)</f>
        <v>2920</v>
      </c>
    </row>
    <row r="14" spans="1:4" x14ac:dyDescent="0.45">
      <c r="A14" s="2" t="str">
        <f>ProyectadaTotal!B25</f>
        <v>Proyectada</v>
      </c>
      <c r="B14" s="2" t="str">
        <f>ProyectadaTotal!C25</f>
        <v>Municipio</v>
      </c>
      <c r="C14" s="2">
        <f>ProyectadaTotal!D25</f>
        <v>2039</v>
      </c>
      <c r="D14" s="9">
        <f>+AVERAGE(ProyectadaTotal!K25,ProyectadaTotal!Q25)</f>
        <v>2992</v>
      </c>
    </row>
    <row r="15" spans="1:4" x14ac:dyDescent="0.45">
      <c r="A15" s="2" t="str">
        <f>ProyectadaTotal!B26</f>
        <v>Proyectada</v>
      </c>
      <c r="B15" s="2" t="str">
        <f>ProyectadaTotal!C26</f>
        <v>Municipio</v>
      </c>
      <c r="C15" s="2">
        <f>ProyectadaTotal!D26</f>
        <v>2042</v>
      </c>
      <c r="D15" s="9">
        <f>+AVERAGE(ProyectadaTotal!K26,ProyectadaTotal!Q26)</f>
        <v>3064</v>
      </c>
    </row>
    <row r="16" spans="1:4" x14ac:dyDescent="0.45">
      <c r="A16" s="2" t="str">
        <f>ProyectadaTotal!B27</f>
        <v>Proyectada</v>
      </c>
      <c r="B16" s="2" t="str">
        <f>ProyectadaTotal!C27</f>
        <v>Municipio</v>
      </c>
      <c r="C16" s="2">
        <f>ProyectadaTotal!D27</f>
        <v>2045</v>
      </c>
      <c r="D16" s="9">
        <f>+AVERAGE(ProyectadaTotal!K27,ProyectadaTotal!Q27)</f>
        <v>3135.5</v>
      </c>
    </row>
    <row r="17" spans="1:4" x14ac:dyDescent="0.45">
      <c r="A17" s="2" t="str">
        <f>ProyectadaTotal!B28</f>
        <v>Proyectada</v>
      </c>
      <c r="B17" s="2" t="str">
        <f>ProyectadaTotal!C28</f>
        <v>Municipio</v>
      </c>
      <c r="C17" s="2">
        <f>ProyectadaTotal!D28</f>
        <v>2048</v>
      </c>
      <c r="D17" s="9">
        <f>+AVERAGE(ProyectadaTotal!K28,ProyectadaTotal!Q28)</f>
        <v>3208</v>
      </c>
    </row>
    <row r="18" spans="1:4" x14ac:dyDescent="0.45">
      <c r="A18" s="2" t="str">
        <f>ProyectadaTotal!B29</f>
        <v>Proyectada</v>
      </c>
      <c r="B18" s="2" t="str">
        <f>ProyectadaTotal!C29</f>
        <v>Municipio</v>
      </c>
      <c r="C18" s="2">
        <f>ProyectadaTotal!D29</f>
        <v>2051</v>
      </c>
      <c r="D18" s="9">
        <f>+AVERAGE(ProyectadaTotal!K29,ProyectadaTotal!Q29)</f>
        <v>3279.5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Censal</vt:lpstr>
      <vt:lpstr>DinamicaDemografica</vt:lpstr>
      <vt:lpstr>ProyectadaTotal</vt:lpstr>
      <vt:lpstr>PoblacionGIS</vt:lpstr>
      <vt:lpstr>CensalChart</vt:lpstr>
      <vt:lpstr>ProyectadaTotalChart</vt:lpstr>
      <vt:lpstr>PoblacionGISChart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WILLIAM RICARDO AGUILAR PIÑA</cp:lastModifiedBy>
  <dcterms:created xsi:type="dcterms:W3CDTF">2015-06-05T18:17:20Z</dcterms:created>
  <dcterms:modified xsi:type="dcterms:W3CDTF">2026-03-28T20:58:15Z</dcterms:modified>
</cp:coreProperties>
</file>