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D:\R.SIGE\activity\Population\"/>
    </mc:Choice>
  </mc:AlternateContent>
  <xr:revisionPtr revIDLastSave="0" documentId="13_ncr:1_{C0EE6B33-0CE1-4DF5-AE01-7E4E00396D28}" xr6:coauthVersionLast="47" xr6:coauthVersionMax="47" xr10:uidLastSave="{00000000-0000-0000-0000-000000000000}"/>
  <bookViews>
    <workbookView xWindow="-28898" yWindow="6368" windowWidth="28996" windowHeight="15675" tabRatio="769" activeTab="3" xr2:uid="{00000000-000D-0000-FFFF-FFFF00000000}"/>
  </bookViews>
  <sheets>
    <sheet name="Censal" sheetId="2" r:id="rId1"/>
    <sheet name="CensalChart" sheetId="7" r:id="rId2"/>
    <sheet name="DinamicaDemografica" sheetId="5" r:id="rId3"/>
    <sheet name="ProyectadaTotal" sheetId="4" r:id="rId4"/>
    <sheet name="ProyectadaTotalChart" sheetId="8" r:id="rId5"/>
    <sheet name="PoblacionGIS" sheetId="6" r:id="rId6"/>
    <sheet name="PoblacionGISChart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4" l="1"/>
  <c r="D6" i="5"/>
  <c r="B12" i="2"/>
  <c r="A12" i="2"/>
  <c r="M18" i="4"/>
  <c r="L18" i="4"/>
  <c r="K18" i="4"/>
  <c r="J18" i="4"/>
  <c r="I18" i="4"/>
  <c r="H18" i="4"/>
  <c r="G18" i="4"/>
  <c r="F18" i="4"/>
  <c r="E18" i="4"/>
  <c r="B34" i="4"/>
  <c r="B21" i="4"/>
  <c r="B22" i="4"/>
  <c r="A16" i="6" s="1"/>
  <c r="B23" i="4"/>
  <c r="A17" i="6" s="1"/>
  <c r="B20" i="4"/>
  <c r="A14" i="6" s="1"/>
  <c r="A15" i="6"/>
  <c r="A13" i="6"/>
  <c r="A2" i="6"/>
  <c r="B2" i="6"/>
  <c r="C2" i="6"/>
  <c r="D2" i="6"/>
  <c r="C3" i="6"/>
  <c r="D3" i="6"/>
  <c r="C4" i="6"/>
  <c r="D4" i="6"/>
  <c r="C5" i="6"/>
  <c r="D5" i="6"/>
  <c r="C6" i="6"/>
  <c r="D6" i="6"/>
  <c r="C7" i="6"/>
  <c r="D7" i="6"/>
  <c r="C8" i="6"/>
  <c r="D8" i="6"/>
  <c r="C9" i="6"/>
  <c r="D9" i="6"/>
  <c r="C10" i="6"/>
  <c r="D10" i="6"/>
  <c r="C11" i="6"/>
  <c r="D11" i="6"/>
  <c r="C12" i="6"/>
  <c r="D12" i="6"/>
  <c r="D1" i="6"/>
  <c r="B1" i="6"/>
  <c r="C1" i="6"/>
  <c r="A1" i="6"/>
  <c r="F9" i="5"/>
  <c r="C9" i="5"/>
  <c r="M11" i="4" a="1"/>
  <c r="M11" i="4" s="1"/>
  <c r="M5" i="4" a="1"/>
  <c r="M5" i="4" s="1"/>
  <c r="M4" i="4" a="1"/>
  <c r="M4" i="4" s="1"/>
  <c r="L11" i="4" a="1"/>
  <c r="L11" i="4" s="1"/>
  <c r="L5" i="4" a="1"/>
  <c r="L5" i="4" s="1"/>
  <c r="L4" i="4" a="1"/>
  <c r="L4" i="4" s="1"/>
  <c r="K11" i="4" a="1"/>
  <c r="K11" i="4" s="1"/>
  <c r="K5" i="4" a="1"/>
  <c r="K5" i="4" s="1"/>
  <c r="K4" i="4" a="1"/>
  <c r="K4" i="4" s="1"/>
  <c r="J11" i="4" a="1"/>
  <c r="J11" i="4" s="1"/>
  <c r="J10" i="4" a="1"/>
  <c r="J10" i="4" s="1"/>
  <c r="J9" i="4" a="1"/>
  <c r="J9" i="4" s="1"/>
  <c r="J8" i="4" a="1"/>
  <c r="J8" i="4" s="1"/>
  <c r="J7" i="4" a="1"/>
  <c r="J7" i="4" s="1"/>
  <c r="J6" i="4" a="1"/>
  <c r="J6" i="4" s="1"/>
  <c r="J5" i="4" a="1"/>
  <c r="J5" i="4" s="1"/>
  <c r="J4" i="4" a="1"/>
  <c r="J4" i="4" s="1"/>
  <c r="I11" i="4" a="1"/>
  <c r="I11" i="4" s="1"/>
  <c r="I9" i="4" a="1"/>
  <c r="I9" i="4" s="1"/>
  <c r="I8" i="4" a="1"/>
  <c r="I8" i="4" s="1"/>
  <c r="I7" i="4" a="1"/>
  <c r="I7" i="4" s="1"/>
  <c r="I6" i="4" a="1"/>
  <c r="I6" i="4" s="1"/>
  <c r="I5" i="4" a="1"/>
  <c r="I5" i="4" s="1"/>
  <c r="I4" i="4" a="1"/>
  <c r="I4" i="4" s="1"/>
  <c r="H11" i="4" a="1"/>
  <c r="H11" i="4" s="1"/>
  <c r="H8" i="4" a="1"/>
  <c r="H8" i="4" s="1"/>
  <c r="H7" i="4" a="1"/>
  <c r="H7" i="4" s="1"/>
  <c r="H6" i="4" a="1"/>
  <c r="H6" i="4" s="1"/>
  <c r="H5" i="4" a="1"/>
  <c r="H5" i="4" s="1"/>
  <c r="H4" i="4" a="1"/>
  <c r="H4" i="4" s="1"/>
  <c r="G11" i="4" a="1"/>
  <c r="G11" i="4" s="1"/>
  <c r="G7" i="4" a="1"/>
  <c r="G7" i="4" s="1"/>
  <c r="G6" i="4" a="1"/>
  <c r="G6" i="4" s="1"/>
  <c r="G5" i="4" a="1"/>
  <c r="G5" i="4" s="1"/>
  <c r="G4" i="4" a="1"/>
  <c r="G4" i="4" s="1"/>
  <c r="F6" i="4" a="1"/>
  <c r="F6" i="4" s="1"/>
  <c r="F5" i="4" a="1"/>
  <c r="F5" i="4" s="1"/>
  <c r="F11" i="4" a="1"/>
  <c r="F11" i="4" s="1"/>
  <c r="F4" i="4" a="1"/>
  <c r="F4" i="4" s="1"/>
  <c r="E11" i="4" a="1"/>
  <c r="E11" i="4" s="1"/>
  <c r="E5" i="4" a="1"/>
  <c r="E5" i="4" s="1"/>
  <c r="E4" i="4" a="1"/>
  <c r="E4" i="4" s="1"/>
  <c r="B24" i="4" l="1"/>
  <c r="C12" i="5"/>
  <c r="H12" i="4"/>
  <c r="J12" i="4"/>
  <c r="G12" i="4"/>
  <c r="I12" i="4"/>
  <c r="K12" i="4"/>
  <c r="L12" i="4"/>
  <c r="F12" i="4"/>
  <c r="M12" i="4"/>
  <c r="E12" i="4"/>
  <c r="C20" i="4"/>
  <c r="B14" i="6" s="1"/>
  <c r="C21" i="4"/>
  <c r="B15" i="6" s="1"/>
  <c r="C22" i="4"/>
  <c r="B16" i="6" s="1"/>
  <c r="C23" i="4"/>
  <c r="B17" i="6" s="1"/>
  <c r="C24" i="4"/>
  <c r="B18" i="6" s="1"/>
  <c r="C25" i="4"/>
  <c r="B19" i="6" s="1"/>
  <c r="C26" i="4"/>
  <c r="B20" i="6" s="1"/>
  <c r="C27" i="4"/>
  <c r="B21" i="6" s="1"/>
  <c r="C28" i="4"/>
  <c r="B22" i="6" s="1"/>
  <c r="C29" i="4"/>
  <c r="B23" i="6" s="1"/>
  <c r="C19" i="4"/>
  <c r="B13" i="6" s="1"/>
  <c r="A4" i="2"/>
  <c r="A4" i="6" s="1"/>
  <c r="B4" i="2"/>
  <c r="B4" i="6" s="1"/>
  <c r="A5" i="2"/>
  <c r="A5" i="6" s="1"/>
  <c r="B5" i="2"/>
  <c r="B5" i="6" s="1"/>
  <c r="A6" i="2"/>
  <c r="A6" i="6" s="1"/>
  <c r="B6" i="2"/>
  <c r="B6" i="6" s="1"/>
  <c r="A7" i="2"/>
  <c r="A7" i="6" s="1"/>
  <c r="B7" i="2"/>
  <c r="B7" i="6" s="1"/>
  <c r="A8" i="2"/>
  <c r="A8" i="6" s="1"/>
  <c r="B8" i="2"/>
  <c r="B8" i="6" s="1"/>
  <c r="A9" i="2"/>
  <c r="A9" i="6" s="1"/>
  <c r="B9" i="2"/>
  <c r="B9" i="6" s="1"/>
  <c r="A10" i="2"/>
  <c r="A10" i="6" s="1"/>
  <c r="B10" i="2"/>
  <c r="B10" i="6" s="1"/>
  <c r="A11" i="2"/>
  <c r="A11" i="6" s="1"/>
  <c r="B11" i="2"/>
  <c r="B11" i="6" s="1"/>
  <c r="A13" i="2"/>
  <c r="A12" i="6" s="1"/>
  <c r="B13" i="2"/>
  <c r="B12" i="6" s="1"/>
  <c r="B3" i="2"/>
  <c r="B3" i="6" s="1"/>
  <c r="A3" i="2"/>
  <c r="A3" i="6" s="1"/>
  <c r="D19" i="4"/>
  <c r="B25" i="4" l="1"/>
  <c r="A18" i="6"/>
  <c r="F19" i="4"/>
  <c r="D13" i="6" s="1"/>
  <c r="C13" i="6"/>
  <c r="C14" i="5"/>
  <c r="F14" i="5" s="1"/>
  <c r="G19" i="4"/>
  <c r="L19" i="4"/>
  <c r="D20" i="4"/>
  <c r="C14" i="6" s="1"/>
  <c r="M19" i="4"/>
  <c r="K19" i="4"/>
  <c r="H19" i="4"/>
  <c r="J19" i="4"/>
  <c r="I19" i="4"/>
  <c r="E19" i="4"/>
  <c r="B26" i="4" l="1"/>
  <c r="A19" i="6"/>
  <c r="G18" i="5"/>
  <c r="G21" i="5"/>
  <c r="G22" i="5"/>
  <c r="G19" i="5"/>
  <c r="G17" i="5"/>
  <c r="D21" i="4"/>
  <c r="C15" i="6" s="1"/>
  <c r="G20" i="4"/>
  <c r="F20" i="4"/>
  <c r="D14" i="6" s="1"/>
  <c r="K20" i="4"/>
  <c r="M20" i="4"/>
  <c r="L20" i="4"/>
  <c r="J20" i="4"/>
  <c r="H20" i="4"/>
  <c r="I20" i="4"/>
  <c r="E20" i="4"/>
  <c r="B27" i="4" l="1"/>
  <c r="A20" i="6"/>
  <c r="G23" i="5"/>
  <c r="G20" i="5"/>
  <c r="D22" i="4"/>
  <c r="C16" i="6" s="1"/>
  <c r="G21" i="4"/>
  <c r="M21" i="4"/>
  <c r="K21" i="4"/>
  <c r="L21" i="4"/>
  <c r="J21" i="4"/>
  <c r="H21" i="4"/>
  <c r="I21" i="4"/>
  <c r="F21" i="4"/>
  <c r="D15" i="6" s="1"/>
  <c r="E21" i="4"/>
  <c r="B28" i="4" l="1"/>
  <c r="A21" i="6"/>
  <c r="D23" i="4"/>
  <c r="C17" i="6" s="1"/>
  <c r="G22" i="4"/>
  <c r="F22" i="4"/>
  <c r="D16" i="6" s="1"/>
  <c r="M22" i="4"/>
  <c r="L22" i="4"/>
  <c r="K22" i="4"/>
  <c r="J22" i="4"/>
  <c r="H22" i="4"/>
  <c r="I22" i="4"/>
  <c r="E22" i="4"/>
  <c r="A22" i="6" l="1"/>
  <c r="B29" i="4"/>
  <c r="A23" i="6" s="1"/>
  <c r="D24" i="4"/>
  <c r="F23" i="4"/>
  <c r="D17" i="6" s="1"/>
  <c r="L23" i="4"/>
  <c r="K23" i="4"/>
  <c r="M23" i="4"/>
  <c r="J23" i="4"/>
  <c r="H23" i="4"/>
  <c r="I23" i="4"/>
  <c r="E23" i="4"/>
  <c r="G23" i="4"/>
  <c r="D25" i="4" l="1"/>
  <c r="C18" i="6"/>
  <c r="L24" i="4"/>
  <c r="K24" i="4"/>
  <c r="M24" i="4"/>
  <c r="J24" i="4"/>
  <c r="E24" i="4"/>
  <c r="I24" i="4"/>
  <c r="H24" i="4"/>
  <c r="G24" i="4"/>
  <c r="F24" i="4"/>
  <c r="D18" i="6" s="1"/>
  <c r="D26" i="4" l="1"/>
  <c r="C19" i="6"/>
  <c r="K25" i="4"/>
  <c r="M25" i="4"/>
  <c r="L25" i="4"/>
  <c r="J25" i="4"/>
  <c r="H25" i="4"/>
  <c r="I25" i="4"/>
  <c r="F25" i="4"/>
  <c r="D19" i="6" s="1"/>
  <c r="E25" i="4"/>
  <c r="G25" i="4"/>
  <c r="D27" i="4" l="1"/>
  <c r="C20" i="6"/>
  <c r="M26" i="4"/>
  <c r="L26" i="4"/>
  <c r="K26" i="4"/>
  <c r="J26" i="4"/>
  <c r="I26" i="4"/>
  <c r="H26" i="4"/>
  <c r="F26" i="4"/>
  <c r="D20" i="6" s="1"/>
  <c r="E26" i="4"/>
  <c r="G26" i="4"/>
  <c r="D28" i="4" l="1"/>
  <c r="C21" i="6"/>
  <c r="L27" i="4"/>
  <c r="K27" i="4"/>
  <c r="M27" i="4"/>
  <c r="J27" i="4"/>
  <c r="H27" i="4"/>
  <c r="I27" i="4"/>
  <c r="F27" i="4"/>
  <c r="D21" i="6" s="1"/>
  <c r="G27" i="4"/>
  <c r="E27" i="4"/>
  <c r="D29" i="4" l="1"/>
  <c r="C22" i="6"/>
  <c r="L28" i="4"/>
  <c r="K28" i="4"/>
  <c r="M28" i="4"/>
  <c r="J28" i="4"/>
  <c r="H28" i="4"/>
  <c r="I28" i="4"/>
  <c r="E28" i="4"/>
  <c r="G28" i="4"/>
  <c r="F28" i="4"/>
  <c r="D22" i="6" s="1"/>
  <c r="B32" i="4" l="1"/>
  <c r="C23" i="6"/>
  <c r="K29" i="4"/>
  <c r="M29" i="4"/>
  <c r="L29" i="4"/>
  <c r="J29" i="4"/>
  <c r="G29" i="4"/>
  <c r="I29" i="4"/>
  <c r="H29" i="4"/>
  <c r="F29" i="4"/>
  <c r="D23" i="6" s="1"/>
  <c r="E2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1" authorId="0" shapeId="0" xr:uid="{323C2D75-8491-492C-9966-43D774D03B54}">
      <text>
        <r>
          <rPr>
            <sz val="9"/>
            <color indexed="81"/>
            <rFont val="Tahoma"/>
            <family val="2"/>
          </rPr>
          <t>Población total masculina</t>
        </r>
      </text>
    </comment>
    <comment ref="F1" authorId="0" shapeId="0" xr:uid="{EA2C1CF8-A69E-41B3-95DB-50DB9F498FCC}">
      <text>
        <r>
          <rPr>
            <sz val="9"/>
            <color indexed="81"/>
            <rFont val="Tahoma"/>
            <family val="2"/>
          </rPr>
          <t>Población total femenina</t>
        </r>
      </text>
    </comment>
    <comment ref="I1" authorId="0" shapeId="0" xr:uid="{935C66C2-81E0-4DB9-8E0B-2D7A387DCED1}">
      <text>
        <r>
          <rPr>
            <sz val="9"/>
            <color indexed="81"/>
            <rFont val="Tahoma"/>
            <family val="2"/>
          </rPr>
          <t>Centro poblado rural</t>
        </r>
      </text>
    </comment>
    <comment ref="J1" authorId="0" shapeId="0" xr:uid="{C09DD0EA-2206-4E80-BCCC-481FA6990921}">
      <text>
        <r>
          <rPr>
            <sz val="9"/>
            <color indexed="81"/>
            <rFont val="Tahoma"/>
            <family val="2"/>
          </rPr>
          <t>Población total
Primera infancia</t>
        </r>
      </text>
    </comment>
    <comment ref="K1" authorId="0" shapeId="0" xr:uid="{B8C6ACE9-11E8-41D1-9AFF-DCBBA373D243}">
      <text>
        <r>
          <rPr>
            <sz val="9"/>
            <color indexed="81"/>
            <rFont val="Tahoma"/>
            <family val="2"/>
          </rPr>
          <t>En educación primaria</t>
        </r>
      </text>
    </comment>
    <comment ref="L1" authorId="0" shapeId="0" xr:uid="{385D4135-7E6A-418F-BB2C-8554D457FD4A}">
      <text>
        <r>
          <rPr>
            <sz val="9"/>
            <color indexed="81"/>
            <rFont val="Tahoma"/>
            <family val="2"/>
          </rPr>
          <t>Adolescentes</t>
        </r>
      </text>
    </comment>
    <comment ref="M1" authorId="0" shapeId="0" xr:uid="{E489F123-F672-45A4-97B8-65857A70BD80}">
      <text>
        <r>
          <rPr>
            <sz val="9"/>
            <color indexed="81"/>
            <rFont val="Tahoma"/>
            <family val="2"/>
          </rPr>
          <t>Económicamente activa</t>
        </r>
      </text>
    </comment>
    <comment ref="N1" authorId="0" shapeId="0" xr:uid="{9C168BAB-44BF-4D01-8EC4-DA5EB8B1E401}">
      <text>
        <r>
          <rPr>
            <sz val="9"/>
            <color indexed="81"/>
            <rFont val="Tahoma"/>
            <family val="2"/>
          </rPr>
          <t xml:space="preserve">Adultos mayores </t>
        </r>
      </text>
    </comment>
    <comment ref="O1" authorId="0" shapeId="0" xr:uid="{6C299207-0C59-4623-8D71-9B95D63DF50D}">
      <text>
        <r>
          <rPr>
            <sz val="9"/>
            <color indexed="81"/>
            <rFont val="Tahoma"/>
            <family val="2"/>
          </rPr>
          <t>Población masculina
Primera infancia</t>
        </r>
      </text>
    </comment>
    <comment ref="P1" authorId="0" shapeId="0" xr:uid="{7E57B871-BD51-4741-821A-03E462064AAA}">
      <text>
        <r>
          <rPr>
            <sz val="9"/>
            <color indexed="81"/>
            <rFont val="Tahoma"/>
            <family val="2"/>
          </rPr>
          <t>En educación primaria</t>
        </r>
      </text>
    </comment>
    <comment ref="Q1" authorId="0" shapeId="0" xr:uid="{92DDDF46-9236-4018-AC5D-C767F998B05A}">
      <text>
        <r>
          <rPr>
            <sz val="9"/>
            <color indexed="81"/>
            <rFont val="Tahoma"/>
            <family val="2"/>
          </rPr>
          <t>Adolescentes</t>
        </r>
      </text>
    </comment>
    <comment ref="R1" authorId="0" shapeId="0" xr:uid="{604F7087-7036-42D2-A12D-F68EDC762DD0}">
      <text>
        <r>
          <rPr>
            <sz val="9"/>
            <color indexed="81"/>
            <rFont val="Tahoma"/>
            <family val="2"/>
          </rPr>
          <t>Económicamente activa</t>
        </r>
      </text>
    </comment>
    <comment ref="S1" authorId="0" shapeId="0" xr:uid="{9B4EE02D-F398-4379-A565-C00641D00496}">
      <text>
        <r>
          <rPr>
            <sz val="9"/>
            <color indexed="81"/>
            <rFont val="Tahoma"/>
            <family val="2"/>
          </rPr>
          <t xml:space="preserve">Adultos mayores </t>
        </r>
      </text>
    </comment>
    <comment ref="T1" authorId="0" shapeId="0" xr:uid="{82F96169-F4BE-41EC-9EF1-8379D58B5897}">
      <text>
        <r>
          <rPr>
            <sz val="9"/>
            <color indexed="81"/>
            <rFont val="Tahoma"/>
            <family val="2"/>
          </rPr>
          <t>Población femenina
Primera infancia</t>
        </r>
      </text>
    </comment>
    <comment ref="U1" authorId="0" shapeId="0" xr:uid="{4095456E-C544-4CA7-89AB-BEFBCE1DE774}">
      <text>
        <r>
          <rPr>
            <sz val="9"/>
            <color indexed="81"/>
            <rFont val="Tahoma"/>
            <family val="2"/>
          </rPr>
          <t>En educación primaria</t>
        </r>
      </text>
    </comment>
    <comment ref="V1" authorId="0" shapeId="0" xr:uid="{F3D65FB5-AAB4-4461-99FE-06DDB42FB808}">
      <text>
        <r>
          <rPr>
            <sz val="9"/>
            <color indexed="81"/>
            <rFont val="Tahoma"/>
            <family val="2"/>
          </rPr>
          <t>Adolescentes</t>
        </r>
      </text>
    </comment>
    <comment ref="W1" authorId="0" shapeId="0" xr:uid="{FB51171E-13AE-47FF-ACCE-552402D41BCC}">
      <text>
        <r>
          <rPr>
            <sz val="9"/>
            <color indexed="81"/>
            <rFont val="Tahoma"/>
            <family val="2"/>
          </rPr>
          <t>Económicamente activa</t>
        </r>
      </text>
    </comment>
    <comment ref="X1" authorId="0" shapeId="0" xr:uid="{A2D1F3EF-270A-4CD8-9DA7-43AA51D46C45}">
      <text>
        <r>
          <rPr>
            <sz val="9"/>
            <color indexed="81"/>
            <rFont val="Tahoma"/>
            <family val="2"/>
          </rPr>
          <t xml:space="preserve">Adultos mayores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<sst xmlns="http://schemas.openxmlformats.org/spreadsheetml/2006/main" count="86" uniqueCount="76">
  <si>
    <t>Logarítmica</t>
  </si>
  <si>
    <t>Potencial</t>
  </si>
  <si>
    <t>Fuente</t>
  </si>
  <si>
    <t>Fecha</t>
  </si>
  <si>
    <t>PTotal</t>
  </si>
  <si>
    <t>Lineal</t>
  </si>
  <si>
    <t>Polinomio grado 2</t>
  </si>
  <si>
    <t>R²</t>
  </si>
  <si>
    <t>Tendencias</t>
  </si>
  <si>
    <t>Polinomio grado 3</t>
  </si>
  <si>
    <t>Polinomio grado 4</t>
  </si>
  <si>
    <t>Polinomio grado 5</t>
  </si>
  <si>
    <t>Polinomio grado 6</t>
  </si>
  <si>
    <t>Zona</t>
  </si>
  <si>
    <t>Municipio</t>
  </si>
  <si>
    <t>Exponencial</t>
  </si>
  <si>
    <t>c1</t>
  </si>
  <si>
    <t>c2</t>
  </si>
  <si>
    <t>c3</t>
  </si>
  <si>
    <t>c4</t>
  </si>
  <si>
    <t>c5</t>
  </si>
  <si>
    <t>c6</t>
  </si>
  <si>
    <t>c7</t>
  </si>
  <si>
    <t>Mejor ajuste numérico</t>
  </si>
  <si>
    <t>Mejor ajuste visual</t>
  </si>
  <si>
    <t>✓</t>
  </si>
  <si>
    <t>Proyecciones cada</t>
  </si>
  <si>
    <t>Tendencias y constantes</t>
  </si>
  <si>
    <t>PT0_6</t>
  </si>
  <si>
    <t>PT7_12</t>
  </si>
  <si>
    <t>PT13_18</t>
  </si>
  <si>
    <t>PM7_12</t>
  </si>
  <si>
    <t>PM13_18</t>
  </si>
  <si>
    <t>PM0_6</t>
  </si>
  <si>
    <t>PF0_6</t>
  </si>
  <si>
    <t>v7_12</t>
  </si>
  <si>
    <t>PF13_18</t>
  </si>
  <si>
    <t>PTMasc</t>
  </si>
  <si>
    <t>PTFem</t>
  </si>
  <si>
    <t>↓</t>
  </si>
  <si>
    <r>
      <t>Nacen (N)</t>
    </r>
    <r>
      <rPr>
        <sz val="16"/>
        <color theme="1"/>
        <rFont val="Segoe UI Light"/>
        <family val="2"/>
      </rPr>
      <t xml:space="preserve"> →</t>
    </r>
  </si>
  <si>
    <r>
      <t>Mueren (D)</t>
    </r>
    <r>
      <rPr>
        <sz val="14"/>
        <color theme="1"/>
        <rFont val="Segoe UI Light"/>
        <family val="2"/>
      </rPr>
      <t xml:space="preserve"> →</t>
    </r>
  </si>
  <si>
    <r>
      <rPr>
        <sz val="16"/>
        <color theme="1"/>
        <rFont val="Segoe UI Light"/>
        <family val="2"/>
      </rPr>
      <t xml:space="preserve">← </t>
    </r>
    <r>
      <rPr>
        <sz val="11"/>
        <color theme="1"/>
        <rFont val="Segoe UI Light"/>
        <family val="2"/>
      </rPr>
      <t>Inmigran (I)</t>
    </r>
  </si>
  <si>
    <r>
      <rPr>
        <sz val="16"/>
        <color theme="1"/>
        <rFont val="Segoe UI Light"/>
        <family val="2"/>
      </rPr>
      <t xml:space="preserve">← </t>
    </r>
    <r>
      <rPr>
        <sz val="11"/>
        <color theme="1"/>
        <rFont val="Segoe UI Light"/>
        <family val="2"/>
      </rPr>
      <t>Emigran (E)</t>
    </r>
  </si>
  <si>
    <t>Saldo o crecimiento total (CT = CV + MN)</t>
  </si>
  <si>
    <t>Población inicial (Po)</t>
  </si>
  <si>
    <t>Tasa de crecimiento total por cada 1000 habitantes,  TCT = (CT / PM) * 1000</t>
  </si>
  <si>
    <t>Tasas</t>
  </si>
  <si>
    <t>Tasa de crecimiento vegetativo por cada 1000 habitantes, TCV = TBN - TBM</t>
  </si>
  <si>
    <t>Tasa bruta de natalidad por cada 1000 habitantes, TBN = (N / PM) * 1000</t>
  </si>
  <si>
    <t>Tasa bruta de mortalidad por cada 1000 habitantes, TBM = (D / PM) * 1000</t>
  </si>
  <si>
    <t>Tasa de inmigración por cada 1000 habitantes, TI = (I / PM) * 1000</t>
  </si>
  <si>
    <t>Tasa de emigración por cada 1000 habitantes, TE = (E / PM) * 1000</t>
  </si>
  <si>
    <t>Tasa de migración neta por cada 1000 habitantes, TMN = TI - TE</t>
  </si>
  <si>
    <t>Ejemplo de dinámica demográfica municipal</t>
  </si>
  <si>
    <t>Población final
(Pr = Po + CT)</t>
  </si>
  <si>
    <t>Población promedio
(PM = (Po + Pr) / 2)</t>
  </si>
  <si>
    <t>Saldo migratorio
(MN = I - E)</t>
  </si>
  <si>
    <t>Saldo vegetativo
(CV = N - D)</t>
  </si>
  <si>
    <t>Observación</t>
  </si>
  <si>
    <t>Sobre ajuste</t>
  </si>
  <si>
    <t>PT15_64</t>
  </si>
  <si>
    <t>PM15_64</t>
  </si>
  <si>
    <t>PF15_64</t>
  </si>
  <si>
    <t>Etiquetas en gráfica</t>
  </si>
  <si>
    <t>DANE</t>
  </si>
  <si>
    <t>Proyectada</t>
  </si>
  <si>
    <t>PT60Max</t>
  </si>
  <si>
    <t>PM60Max</t>
  </si>
  <si>
    <t>PF60Max</t>
  </si>
  <si>
    <t>Análisis de tendencias</t>
  </si>
  <si>
    <t>Proyección de población</t>
  </si>
  <si>
    <t>años desde el siguiente año censal del registro histórico</t>
  </si>
  <si>
    <t>PTUrbano</t>
  </si>
  <si>
    <t>PTRural</t>
  </si>
  <si>
    <t>PTCPR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</si>
</sst>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sz val="11"/>
      <name val="Segoe UI Light"/>
      <family val="2"/>
    </font>
    <font>
      <sz val="11"/>
      <color rgb="FF0070C0"/>
      <name val="Segoe UI Light"/>
      <family val="2"/>
    </font>
    <font>
      <sz val="8"/>
      <name val="Calibri"/>
      <family val="2"/>
      <scheme val="minor"/>
    </font>
    <font>
      <b/>
      <sz val="11"/>
      <color rgb="FF0070C0"/>
      <name val="Segoe UI Light"/>
      <family val="2"/>
    </font>
    <font>
      <sz val="24"/>
      <name val="Segoe UI Light"/>
      <family val="2"/>
    </font>
    <font>
      <sz val="9"/>
      <color indexed="81"/>
      <name val="Tahoma"/>
      <family val="2"/>
    </font>
    <font>
      <sz val="12"/>
      <color theme="1"/>
      <name val="Segoe UI Light"/>
      <family val="2"/>
    </font>
    <font>
      <sz val="14"/>
      <color theme="1"/>
      <name val="Segoe UI Light"/>
      <family val="2"/>
    </font>
    <font>
      <b/>
      <sz val="16"/>
      <color theme="1"/>
      <name val="Segoe UI Light"/>
      <family val="2"/>
    </font>
    <font>
      <sz val="16"/>
      <color theme="1"/>
      <name val="Segoe UI Light"/>
      <family val="2"/>
    </font>
    <font>
      <b/>
      <sz val="12"/>
      <color theme="1"/>
      <name val="Segoe UI Light"/>
      <family val="2"/>
    </font>
    <font>
      <sz val="10"/>
      <name val="Segoe UI Light"/>
      <family val="2"/>
    </font>
    <font>
      <sz val="10"/>
      <color theme="1"/>
      <name val="Segoe UI Light"/>
      <family val="2"/>
    </font>
    <font>
      <sz val="10"/>
      <color rgb="FFC00000"/>
      <name val="Segoe UI Light"/>
      <family val="2"/>
    </font>
    <font>
      <b/>
      <sz val="18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1" fontId="1" fillId="0" borderId="1" xfId="0" applyNumberFormat="1" applyFont="1" applyBorder="1" applyAlignment="1">
      <alignment horizontal="left" vertical="top"/>
    </xf>
    <xf numFmtId="1" fontId="1" fillId="0" borderId="7" xfId="0" applyNumberFormat="1" applyFont="1" applyBorder="1" applyAlignment="1">
      <alignment horizontal="left" vertical="top"/>
    </xf>
    <xf numFmtId="1" fontId="4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1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0" fontId="1" fillId="2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left" vertical="center" wrapText="1"/>
    </xf>
    <xf numFmtId="0" fontId="1" fillId="3" borderId="19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9" fillId="3" borderId="20" xfId="0" applyFont="1" applyFill="1" applyBorder="1" applyAlignment="1">
      <alignment horizontal="left" vertical="center" wrapText="1"/>
    </xf>
    <xf numFmtId="0" fontId="9" fillId="3" borderId="19" xfId="0" applyFont="1" applyFill="1" applyBorder="1" applyAlignment="1">
      <alignment horizontal="right" vertical="center" wrapText="1"/>
    </xf>
    <xf numFmtId="0" fontId="2" fillId="3" borderId="20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64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" fillId="2" borderId="23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1" fontId="17" fillId="3" borderId="0" xfId="0" applyNumberFormat="1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top" wrapText="1"/>
    </xf>
    <xf numFmtId="0" fontId="7" fillId="0" borderId="17" xfId="0" applyFont="1" applyBorder="1" applyAlignment="1">
      <alignment horizontal="center" vertical="top" wrapText="1"/>
    </xf>
    <xf numFmtId="0" fontId="7" fillId="0" borderId="18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schemas.openxmlformats.org/officeDocument/2006/relationships/chartsheet" Target="chartsheets/sheet3.xml"/><Relationship Id="rId12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sheetMetadata" Target="metadata.xml"/><Relationship Id="rId5" Type="http://schemas.openxmlformats.org/officeDocument/2006/relationships/chartsheet" Target="chartsheets/sheet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ProyectadaTotal!$B$34</c:f>
          <c:strCache>
            <c:ptCount val="1"/>
            <c:pt idx="0">
              <c:v>DANE - Población censal municipal</c:v>
            </c:pt>
          </c:strCache>
        </c:strRef>
      </c:tx>
      <c:layout>
        <c:manualLayout>
          <c:xMode val="edge"/>
          <c:yMode val="edge"/>
          <c:x val="0.36959934650012266"/>
          <c:y val="1.009280224592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1984232959176118E-2"/>
          <c:y val="9.5570570105434932E-2"/>
          <c:w val="0.88019508632967225"/>
          <c:h val="0.791183270336721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Censal!$D$1</c:f>
              <c:strCache>
                <c:ptCount val="1"/>
                <c:pt idx="0">
                  <c:v>PTotal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7"/>
              <c:layout>
                <c:manualLayout>
                  <c:x val="-2.2630897494462319E-2"/>
                  <c:y val="-5.25064962525316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AD-4B2B-8A5E-0AF6ECC0F940}"/>
                </c:ext>
              </c:extLst>
            </c:dLbl>
            <c:dLbl>
              <c:idx val="10"/>
              <c:layout>
                <c:manualLayout>
                  <c:x val="-2.1593258911497517E-2"/>
                  <c:y val="-5.50738603697696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AD-4B2B-8A5E-0AF6ECC0F940}"/>
                </c:ext>
              </c:extLst>
            </c:dLbl>
            <c:dLbl>
              <c:idx val="11"/>
              <c:layout>
                <c:manualLayout>
                  <c:x val="-6.0286801670256483E-3"/>
                  <c:y val="-5.7540347300296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AD-4B2B-8A5E-0AF6ECC0F9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Censal!$C$2:$C$13</c:f>
              <c:numCache>
                <c:formatCode>0</c:formatCode>
                <c:ptCount val="12"/>
                <c:pt idx="0">
                  <c:v>1905</c:v>
                </c:pt>
                <c:pt idx="1">
                  <c:v>1928</c:v>
                </c:pt>
                <c:pt idx="2">
                  <c:v>1938</c:v>
                </c:pt>
                <c:pt idx="3">
                  <c:v>1951</c:v>
                </c:pt>
                <c:pt idx="4">
                  <c:v>1964</c:v>
                </c:pt>
                <c:pt idx="5">
                  <c:v>1973</c:v>
                </c:pt>
                <c:pt idx="6">
                  <c:v>1985</c:v>
                </c:pt>
                <c:pt idx="7">
                  <c:v>1993</c:v>
                </c:pt>
                <c:pt idx="8">
                  <c:v>1995</c:v>
                </c:pt>
                <c:pt idx="9">
                  <c:v>2005</c:v>
                </c:pt>
                <c:pt idx="10">
                  <c:v>2017</c:v>
                </c:pt>
                <c:pt idx="11">
                  <c:v>2018</c:v>
                </c:pt>
              </c:numCache>
            </c:numRef>
          </c:xVal>
          <c:yVal>
            <c:numRef>
              <c:f>Censal!$D$2:$D$13</c:f>
              <c:numCache>
                <c:formatCode>0</c:formatCode>
                <c:ptCount val="12"/>
                <c:pt idx="0">
                  <c:v>7108</c:v>
                </c:pt>
                <c:pt idx="1">
                  <c:v>11480</c:v>
                </c:pt>
                <c:pt idx="2">
                  <c:v>12273</c:v>
                </c:pt>
                <c:pt idx="3">
                  <c:v>20628</c:v>
                </c:pt>
                <c:pt idx="4">
                  <c:v>27775</c:v>
                </c:pt>
                <c:pt idx="5">
                  <c:v>39836</c:v>
                </c:pt>
                <c:pt idx="6">
                  <c:v>60202</c:v>
                </c:pt>
                <c:pt idx="7">
                  <c:v>69695</c:v>
                </c:pt>
                <c:pt idx="8">
                  <c:v>78923</c:v>
                </c:pt>
                <c:pt idx="9">
                  <c:v>100038</c:v>
                </c:pt>
                <c:pt idx="10">
                  <c:v>118267</c:v>
                </c:pt>
                <c:pt idx="11">
                  <c:v>128968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B0-49B4-880C-F3892B737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400352"/>
        <c:axId val="663400832"/>
      </c:scatterChart>
      <c:valAx>
        <c:axId val="663400352"/>
        <c:scaling>
          <c:orientation val="minMax"/>
          <c:min val="190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832"/>
        <c:crosses val="autoZero"/>
        <c:crossBetween val="midCat"/>
      </c:valAx>
      <c:valAx>
        <c:axId val="6634008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Población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568609847811096E-2"/>
          <c:y val="0.12060892329409924"/>
          <c:w val="7.5419902512629575E-2"/>
          <c:h val="4.9296218789432453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ProyectadaTotal!$B$32</c:f>
          <c:strCache>
            <c:ptCount val="1"/>
            <c:pt idx="0">
              <c:v>DANE - Población censal Municipio y población proyectada a 50 años con diferentes tendencias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094480305121253E-2"/>
          <c:y val="6.9351170704609222E-2"/>
          <c:w val="0.88538511457614932"/>
          <c:h val="0.8557449314382397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ProyectadaTotal!$E$18</c:f>
              <c:strCache>
                <c:ptCount val="1"/>
                <c:pt idx="0">
                  <c:v>Lineal</c:v>
                </c:pt>
              </c:strCache>
            </c:strRef>
          </c:tx>
          <c:spPr>
            <a:ln w="15875" cap="rnd">
              <a:solidFill>
                <a:schemeClr val="bg1">
                  <a:lumMod val="9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2024</c:v>
                </c:pt>
                <c:pt idx="2">
                  <c:v>2029</c:v>
                </c:pt>
                <c:pt idx="3">
                  <c:v>2034</c:v>
                </c:pt>
                <c:pt idx="4">
                  <c:v>2039</c:v>
                </c:pt>
                <c:pt idx="5">
                  <c:v>2044</c:v>
                </c:pt>
                <c:pt idx="6">
                  <c:v>2049</c:v>
                </c:pt>
                <c:pt idx="7">
                  <c:v>2054</c:v>
                </c:pt>
                <c:pt idx="8">
                  <c:v>2059</c:v>
                </c:pt>
                <c:pt idx="9">
                  <c:v>2064</c:v>
                </c:pt>
                <c:pt idx="10">
                  <c:v>2069</c:v>
                </c:pt>
              </c:numCache>
            </c:numRef>
          </c:xVal>
          <c:yVal>
            <c:numRef>
              <c:f>ProyectadaTotal!$E$19:$E$29</c:f>
              <c:numCache>
                <c:formatCode>General</c:formatCode>
                <c:ptCount val="11"/>
                <c:pt idx="0">
                  <c:v>108057</c:v>
                </c:pt>
                <c:pt idx="1">
                  <c:v>113646</c:v>
                </c:pt>
                <c:pt idx="2">
                  <c:v>119235</c:v>
                </c:pt>
                <c:pt idx="3">
                  <c:v>124824</c:v>
                </c:pt>
                <c:pt idx="4">
                  <c:v>130413</c:v>
                </c:pt>
                <c:pt idx="5">
                  <c:v>136002</c:v>
                </c:pt>
                <c:pt idx="6">
                  <c:v>141591</c:v>
                </c:pt>
                <c:pt idx="7">
                  <c:v>147180</c:v>
                </c:pt>
                <c:pt idx="8">
                  <c:v>152769</c:v>
                </c:pt>
                <c:pt idx="9">
                  <c:v>158358</c:v>
                </c:pt>
                <c:pt idx="10">
                  <c:v>163947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71-4B8C-B6A9-4BA10104E465}"/>
            </c:ext>
          </c:extLst>
        </c:ser>
        <c:ser>
          <c:idx val="1"/>
          <c:order val="1"/>
          <c:tx>
            <c:strRef>
              <c:f>ProyectadaTotal!$F$18</c:f>
              <c:strCache>
                <c:ptCount val="1"/>
                <c:pt idx="0">
                  <c:v>Polinomio grado 2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2024</c:v>
                </c:pt>
                <c:pt idx="2">
                  <c:v>2029</c:v>
                </c:pt>
                <c:pt idx="3">
                  <c:v>2034</c:v>
                </c:pt>
                <c:pt idx="4">
                  <c:v>2039</c:v>
                </c:pt>
                <c:pt idx="5">
                  <c:v>2044</c:v>
                </c:pt>
                <c:pt idx="6">
                  <c:v>2049</c:v>
                </c:pt>
                <c:pt idx="7">
                  <c:v>2054</c:v>
                </c:pt>
                <c:pt idx="8">
                  <c:v>2059</c:v>
                </c:pt>
                <c:pt idx="9">
                  <c:v>2064</c:v>
                </c:pt>
                <c:pt idx="10">
                  <c:v>2069</c:v>
                </c:pt>
              </c:numCache>
            </c:numRef>
          </c:xVal>
          <c:yVal>
            <c:numRef>
              <c:f>ProyectadaTotal!$F$19:$F$29</c:f>
              <c:numCache>
                <c:formatCode>General</c:formatCode>
                <c:ptCount val="11"/>
                <c:pt idx="0">
                  <c:v>127918</c:v>
                </c:pt>
                <c:pt idx="1">
                  <c:v>140346</c:v>
                </c:pt>
                <c:pt idx="2">
                  <c:v>153383</c:v>
                </c:pt>
                <c:pt idx="3">
                  <c:v>167026</c:v>
                </c:pt>
                <c:pt idx="4">
                  <c:v>181278</c:v>
                </c:pt>
                <c:pt idx="5">
                  <c:v>196136</c:v>
                </c:pt>
                <c:pt idx="6">
                  <c:v>211602</c:v>
                </c:pt>
                <c:pt idx="7">
                  <c:v>227676</c:v>
                </c:pt>
                <c:pt idx="8">
                  <c:v>244356</c:v>
                </c:pt>
                <c:pt idx="9">
                  <c:v>261645</c:v>
                </c:pt>
                <c:pt idx="10">
                  <c:v>279540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71-4B8C-B6A9-4BA10104E465}"/>
            </c:ext>
          </c:extLst>
        </c:ser>
        <c:ser>
          <c:idx val="2"/>
          <c:order val="2"/>
          <c:tx>
            <c:strRef>
              <c:f>ProyectadaTotal!$G$18</c:f>
              <c:strCache>
                <c:ptCount val="1"/>
                <c:pt idx="0">
                  <c:v>Polinomio grado 3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2024</c:v>
                </c:pt>
                <c:pt idx="2">
                  <c:v>2029</c:v>
                </c:pt>
                <c:pt idx="3">
                  <c:v>2034</c:v>
                </c:pt>
                <c:pt idx="4">
                  <c:v>2039</c:v>
                </c:pt>
                <c:pt idx="5">
                  <c:v>2044</c:v>
                </c:pt>
                <c:pt idx="6">
                  <c:v>2049</c:v>
                </c:pt>
                <c:pt idx="7">
                  <c:v>2054</c:v>
                </c:pt>
                <c:pt idx="8">
                  <c:v>2059</c:v>
                </c:pt>
                <c:pt idx="9">
                  <c:v>2064</c:v>
                </c:pt>
                <c:pt idx="10">
                  <c:v>2069</c:v>
                </c:pt>
              </c:numCache>
            </c:numRef>
          </c:xVal>
          <c:yVal>
            <c:numRef>
              <c:f>ProyectadaTotal!$G$19:$G$29</c:f>
              <c:numCache>
                <c:formatCode>General</c:formatCode>
                <c:ptCount val="11"/>
                <c:pt idx="0">
                  <c:v>128902</c:v>
                </c:pt>
                <c:pt idx="1">
                  <c:v>142142</c:v>
                </c:pt>
                <c:pt idx="2">
                  <c:v>156177</c:v>
                </c:pt>
                <c:pt idx="3">
                  <c:v>171024</c:v>
                </c:pt>
                <c:pt idx="4">
                  <c:v>186698</c:v>
                </c:pt>
                <c:pt idx="5">
                  <c:v>203215</c:v>
                </c:pt>
                <c:pt idx="6">
                  <c:v>220589</c:v>
                </c:pt>
                <c:pt idx="7">
                  <c:v>238837</c:v>
                </c:pt>
                <c:pt idx="8">
                  <c:v>257974</c:v>
                </c:pt>
                <c:pt idx="9">
                  <c:v>278015</c:v>
                </c:pt>
                <c:pt idx="10">
                  <c:v>298976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71-4B8C-B6A9-4BA10104E465}"/>
            </c:ext>
          </c:extLst>
        </c:ser>
        <c:ser>
          <c:idx val="3"/>
          <c:order val="3"/>
          <c:tx>
            <c:strRef>
              <c:f>ProyectadaTotal!$H$18</c:f>
              <c:strCache>
                <c:ptCount val="1"/>
                <c:pt idx="0">
                  <c:v>Polinomio grado 4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2024</c:v>
                </c:pt>
                <c:pt idx="2">
                  <c:v>2029</c:v>
                </c:pt>
                <c:pt idx="3">
                  <c:v>2034</c:v>
                </c:pt>
                <c:pt idx="4">
                  <c:v>2039</c:v>
                </c:pt>
                <c:pt idx="5">
                  <c:v>2044</c:v>
                </c:pt>
                <c:pt idx="6">
                  <c:v>2049</c:v>
                </c:pt>
                <c:pt idx="7">
                  <c:v>2054</c:v>
                </c:pt>
                <c:pt idx="8">
                  <c:v>2059</c:v>
                </c:pt>
                <c:pt idx="9">
                  <c:v>2064</c:v>
                </c:pt>
                <c:pt idx="10">
                  <c:v>2069</c:v>
                </c:pt>
              </c:numCache>
            </c:numRef>
          </c:xVal>
          <c:yVal>
            <c:numRef>
              <c:f>ProyectadaTotal!$H$19:$H$29</c:f>
              <c:numCache>
                <c:formatCode>General</c:formatCode>
                <c:ptCount val="11"/>
                <c:pt idx="0">
                  <c:v>127108</c:v>
                </c:pt>
                <c:pt idx="1">
                  <c:v>136758</c:v>
                </c:pt>
                <c:pt idx="2">
                  <c:v>145577</c:v>
                </c:pt>
                <c:pt idx="3">
                  <c:v>153256</c:v>
                </c:pt>
                <c:pt idx="4">
                  <c:v>159460</c:v>
                </c:pt>
                <c:pt idx="5">
                  <c:v>163828</c:v>
                </c:pt>
                <c:pt idx="6">
                  <c:v>165974</c:v>
                </c:pt>
                <c:pt idx="7">
                  <c:v>165486</c:v>
                </c:pt>
                <c:pt idx="8">
                  <c:v>161927</c:v>
                </c:pt>
                <c:pt idx="9">
                  <c:v>154835</c:v>
                </c:pt>
                <c:pt idx="10">
                  <c:v>143721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271-4B8C-B6A9-4BA10104E465}"/>
            </c:ext>
          </c:extLst>
        </c:ser>
        <c:ser>
          <c:idx val="4"/>
          <c:order val="4"/>
          <c:tx>
            <c:strRef>
              <c:f>ProyectadaTotal!$I$18</c:f>
              <c:strCache>
                <c:ptCount val="1"/>
                <c:pt idx="0">
                  <c:v>Polinomio grado 5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2024</c:v>
                </c:pt>
                <c:pt idx="2">
                  <c:v>2029</c:v>
                </c:pt>
                <c:pt idx="3">
                  <c:v>2034</c:v>
                </c:pt>
                <c:pt idx="4">
                  <c:v>2039</c:v>
                </c:pt>
                <c:pt idx="5">
                  <c:v>2044</c:v>
                </c:pt>
                <c:pt idx="6">
                  <c:v>2049</c:v>
                </c:pt>
                <c:pt idx="7">
                  <c:v>2054</c:v>
                </c:pt>
                <c:pt idx="8">
                  <c:v>2059</c:v>
                </c:pt>
                <c:pt idx="9">
                  <c:v>2064</c:v>
                </c:pt>
                <c:pt idx="10">
                  <c:v>2069</c:v>
                </c:pt>
              </c:numCache>
            </c:numRef>
          </c:xVal>
          <c:yVal>
            <c:numRef>
              <c:f>ProyectadaTotal!$I$19:$I$29</c:f>
              <c:numCache>
                <c:formatCode>General</c:formatCode>
                <c:ptCount val="11"/>
                <c:pt idx="0">
                  <c:v>127087</c:v>
                </c:pt>
                <c:pt idx="1">
                  <c:v>136659</c:v>
                </c:pt>
                <c:pt idx="2">
                  <c:v>145345</c:v>
                </c:pt>
                <c:pt idx="3">
                  <c:v>152816</c:v>
                </c:pt>
                <c:pt idx="4">
                  <c:v>158714</c:v>
                </c:pt>
                <c:pt idx="5">
                  <c:v>162651</c:v>
                </c:pt>
                <c:pt idx="6">
                  <c:v>164213</c:v>
                </c:pt>
                <c:pt idx="7">
                  <c:v>162951</c:v>
                </c:pt>
                <c:pt idx="8">
                  <c:v>158390</c:v>
                </c:pt>
                <c:pt idx="9">
                  <c:v>150023</c:v>
                </c:pt>
                <c:pt idx="10">
                  <c:v>137312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271-4B8C-B6A9-4BA10104E465}"/>
            </c:ext>
          </c:extLst>
        </c:ser>
        <c:ser>
          <c:idx val="5"/>
          <c:order val="5"/>
          <c:tx>
            <c:strRef>
              <c:f>ProyectadaTotal!$J$18</c:f>
              <c:strCache>
                <c:ptCount val="1"/>
                <c:pt idx="0">
                  <c:v>Polinomio grado 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2024</c:v>
                </c:pt>
                <c:pt idx="2">
                  <c:v>2029</c:v>
                </c:pt>
                <c:pt idx="3">
                  <c:v>2034</c:v>
                </c:pt>
                <c:pt idx="4">
                  <c:v>2039</c:v>
                </c:pt>
                <c:pt idx="5">
                  <c:v>2044</c:v>
                </c:pt>
                <c:pt idx="6">
                  <c:v>2049</c:v>
                </c:pt>
                <c:pt idx="7">
                  <c:v>2054</c:v>
                </c:pt>
                <c:pt idx="8">
                  <c:v>2059</c:v>
                </c:pt>
                <c:pt idx="9">
                  <c:v>2064</c:v>
                </c:pt>
                <c:pt idx="10">
                  <c:v>2069</c:v>
                </c:pt>
              </c:numCache>
            </c:numRef>
          </c:xVal>
          <c:yVal>
            <c:numRef>
              <c:f>ProyectadaTotal!$J$19:$J$29</c:f>
              <c:numCache>
                <c:formatCode>General</c:formatCode>
                <c:ptCount val="11"/>
                <c:pt idx="0">
                  <c:v>127066</c:v>
                </c:pt>
                <c:pt idx="1">
                  <c:v>136558</c:v>
                </c:pt>
                <c:pt idx="2">
                  <c:v>145108</c:v>
                </c:pt>
                <c:pt idx="3">
                  <c:v>152365</c:v>
                </c:pt>
                <c:pt idx="4">
                  <c:v>157947</c:v>
                </c:pt>
                <c:pt idx="5">
                  <c:v>161440</c:v>
                </c:pt>
                <c:pt idx="6">
                  <c:v>162395</c:v>
                </c:pt>
                <c:pt idx="7">
                  <c:v>160328</c:v>
                </c:pt>
                <c:pt idx="8">
                  <c:v>154720</c:v>
                </c:pt>
                <c:pt idx="9">
                  <c:v>145018</c:v>
                </c:pt>
                <c:pt idx="10">
                  <c:v>130632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271-4B8C-B6A9-4BA10104E465}"/>
            </c:ext>
          </c:extLst>
        </c:ser>
        <c:ser>
          <c:idx val="6"/>
          <c:order val="6"/>
          <c:tx>
            <c:strRef>
              <c:f>ProyectadaTotal!$K$18</c:f>
              <c:strCache>
                <c:ptCount val="1"/>
                <c:pt idx="0">
                  <c:v>Logarítmica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2024</c:v>
                </c:pt>
                <c:pt idx="2">
                  <c:v>2029</c:v>
                </c:pt>
                <c:pt idx="3">
                  <c:v>2034</c:v>
                </c:pt>
                <c:pt idx="4">
                  <c:v>2039</c:v>
                </c:pt>
                <c:pt idx="5">
                  <c:v>2044</c:v>
                </c:pt>
                <c:pt idx="6">
                  <c:v>2049</c:v>
                </c:pt>
                <c:pt idx="7">
                  <c:v>2054</c:v>
                </c:pt>
                <c:pt idx="8">
                  <c:v>2059</c:v>
                </c:pt>
                <c:pt idx="9">
                  <c:v>2064</c:v>
                </c:pt>
                <c:pt idx="10">
                  <c:v>2069</c:v>
                </c:pt>
              </c:numCache>
            </c:numRef>
          </c:xVal>
          <c:yVal>
            <c:numRef>
              <c:f>ProyectadaTotal!$K$19:$K$29</c:f>
              <c:numCache>
                <c:formatCode>General</c:formatCode>
                <c:ptCount val="11"/>
                <c:pt idx="0">
                  <c:v>107439</c:v>
                </c:pt>
                <c:pt idx="1">
                  <c:v>112854</c:v>
                </c:pt>
                <c:pt idx="2">
                  <c:v>118257</c:v>
                </c:pt>
                <c:pt idx="3">
                  <c:v>123646</c:v>
                </c:pt>
                <c:pt idx="4">
                  <c:v>129021</c:v>
                </c:pt>
                <c:pt idx="5">
                  <c:v>134384</c:v>
                </c:pt>
                <c:pt idx="6">
                  <c:v>139733</c:v>
                </c:pt>
                <c:pt idx="7">
                  <c:v>145070</c:v>
                </c:pt>
                <c:pt idx="8">
                  <c:v>150393</c:v>
                </c:pt>
                <c:pt idx="9">
                  <c:v>155704</c:v>
                </c:pt>
                <c:pt idx="10">
                  <c:v>161001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271-4B8C-B6A9-4BA10104E465}"/>
            </c:ext>
          </c:extLst>
        </c:ser>
        <c:ser>
          <c:idx val="7"/>
          <c:order val="7"/>
          <c:tx>
            <c:strRef>
              <c:f>ProyectadaTotal!$L$18</c:f>
              <c:strCache>
                <c:ptCount val="1"/>
                <c:pt idx="0">
                  <c:v>Potencial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2024</c:v>
                </c:pt>
                <c:pt idx="2">
                  <c:v>2029</c:v>
                </c:pt>
                <c:pt idx="3">
                  <c:v>2034</c:v>
                </c:pt>
                <c:pt idx="4">
                  <c:v>2039</c:v>
                </c:pt>
                <c:pt idx="5">
                  <c:v>2044</c:v>
                </c:pt>
                <c:pt idx="6">
                  <c:v>2049</c:v>
                </c:pt>
                <c:pt idx="7">
                  <c:v>2054</c:v>
                </c:pt>
                <c:pt idx="8">
                  <c:v>2059</c:v>
                </c:pt>
                <c:pt idx="9">
                  <c:v>2064</c:v>
                </c:pt>
                <c:pt idx="10">
                  <c:v>2069</c:v>
                </c:pt>
              </c:numCache>
            </c:numRef>
          </c:xVal>
          <c:yVal>
            <c:numRef>
              <c:f>ProyectadaTotal!$L$19:$L$29</c:f>
              <c:numCache>
                <c:formatCode>General</c:formatCode>
                <c:ptCount val="11"/>
                <c:pt idx="0">
                  <c:v>135311</c:v>
                </c:pt>
                <c:pt idx="1">
                  <c:v>154446</c:v>
                </c:pt>
                <c:pt idx="2">
                  <c:v>176229</c:v>
                </c:pt>
                <c:pt idx="3">
                  <c:v>201019</c:v>
                </c:pt>
                <c:pt idx="4">
                  <c:v>229222</c:v>
                </c:pt>
                <c:pt idx="5">
                  <c:v>261299</c:v>
                </c:pt>
                <c:pt idx="6">
                  <c:v>297768</c:v>
                </c:pt>
                <c:pt idx="7">
                  <c:v>339220</c:v>
                </c:pt>
                <c:pt idx="8">
                  <c:v>386319</c:v>
                </c:pt>
                <c:pt idx="9">
                  <c:v>439820</c:v>
                </c:pt>
                <c:pt idx="10">
                  <c:v>500572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271-4B8C-B6A9-4BA10104E465}"/>
            </c:ext>
          </c:extLst>
        </c:ser>
        <c:ser>
          <c:idx val="8"/>
          <c:order val="8"/>
          <c:tx>
            <c:strRef>
              <c:f>ProyectadaTotal!$M$18</c:f>
              <c:strCache>
                <c:ptCount val="1"/>
                <c:pt idx="0">
                  <c:v>Exponencial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2024</c:v>
                </c:pt>
                <c:pt idx="2">
                  <c:v>2029</c:v>
                </c:pt>
                <c:pt idx="3">
                  <c:v>2034</c:v>
                </c:pt>
                <c:pt idx="4">
                  <c:v>2039</c:v>
                </c:pt>
                <c:pt idx="5">
                  <c:v>2044</c:v>
                </c:pt>
                <c:pt idx="6">
                  <c:v>2049</c:v>
                </c:pt>
                <c:pt idx="7">
                  <c:v>2054</c:v>
                </c:pt>
                <c:pt idx="8">
                  <c:v>2059</c:v>
                </c:pt>
                <c:pt idx="9">
                  <c:v>2064</c:v>
                </c:pt>
                <c:pt idx="10">
                  <c:v>2069</c:v>
                </c:pt>
              </c:numCache>
            </c:numRef>
          </c:xVal>
          <c:yVal>
            <c:numRef>
              <c:f>ProyectadaTotal!$M$19:$M$29</c:f>
              <c:numCache>
                <c:formatCode>General</c:formatCode>
                <c:ptCount val="11"/>
                <c:pt idx="0">
                  <c:v>136886</c:v>
                </c:pt>
                <c:pt idx="1">
                  <c:v>156847</c:v>
                </c:pt>
                <c:pt idx="2">
                  <c:v>179718</c:v>
                </c:pt>
                <c:pt idx="3">
                  <c:v>205925</c:v>
                </c:pt>
                <c:pt idx="4">
                  <c:v>235953</c:v>
                </c:pt>
                <c:pt idx="5">
                  <c:v>270359</c:v>
                </c:pt>
                <c:pt idx="6">
                  <c:v>309783</c:v>
                </c:pt>
                <c:pt idx="7">
                  <c:v>354956</c:v>
                </c:pt>
                <c:pt idx="8">
                  <c:v>406716</c:v>
                </c:pt>
                <c:pt idx="9">
                  <c:v>466023</c:v>
                </c:pt>
                <c:pt idx="10">
                  <c:v>533979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271-4B8C-B6A9-4BA10104E465}"/>
            </c:ext>
          </c:extLst>
        </c:ser>
        <c:ser>
          <c:idx val="9"/>
          <c:order val="9"/>
          <c:tx>
            <c:v>Censal</c:v>
          </c:tx>
          <c:spPr>
            <a:ln w="15875" cap="rnd">
              <a:solidFill>
                <a:schemeClr val="tx1"/>
              </a:solidFill>
              <a:round/>
              <a:headEnd type="none" w="sm" len="sm"/>
              <a:tailEnd type="none" w="sm" len="sm"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8"/>
              <c:layout>
                <c:manualLayout>
                  <c:x val="-1.2257135476540377E-2"/>
                  <c:y val="-5.22919280555968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Censal!$C$2:$C$13</c:f>
              <c:numCache>
                <c:formatCode>0</c:formatCode>
                <c:ptCount val="12"/>
                <c:pt idx="0">
                  <c:v>1905</c:v>
                </c:pt>
                <c:pt idx="1">
                  <c:v>1928</c:v>
                </c:pt>
                <c:pt idx="2">
                  <c:v>1938</c:v>
                </c:pt>
                <c:pt idx="3">
                  <c:v>1951</c:v>
                </c:pt>
                <c:pt idx="4">
                  <c:v>1964</c:v>
                </c:pt>
                <c:pt idx="5">
                  <c:v>1973</c:v>
                </c:pt>
                <c:pt idx="6">
                  <c:v>1985</c:v>
                </c:pt>
                <c:pt idx="7">
                  <c:v>1993</c:v>
                </c:pt>
                <c:pt idx="8">
                  <c:v>1995</c:v>
                </c:pt>
                <c:pt idx="9">
                  <c:v>2005</c:v>
                </c:pt>
                <c:pt idx="10">
                  <c:v>2017</c:v>
                </c:pt>
                <c:pt idx="11">
                  <c:v>2018</c:v>
                </c:pt>
              </c:numCache>
            </c:numRef>
          </c:xVal>
          <c:yVal>
            <c:numRef>
              <c:f>Censal!$D$2:$D$13</c:f>
              <c:numCache>
                <c:formatCode>0</c:formatCode>
                <c:ptCount val="12"/>
                <c:pt idx="0">
                  <c:v>7108</c:v>
                </c:pt>
                <c:pt idx="1">
                  <c:v>11480</c:v>
                </c:pt>
                <c:pt idx="2">
                  <c:v>12273</c:v>
                </c:pt>
                <c:pt idx="3">
                  <c:v>20628</c:v>
                </c:pt>
                <c:pt idx="4">
                  <c:v>27775</c:v>
                </c:pt>
                <c:pt idx="5">
                  <c:v>39836</c:v>
                </c:pt>
                <c:pt idx="6">
                  <c:v>60202</c:v>
                </c:pt>
                <c:pt idx="7">
                  <c:v>69695</c:v>
                </c:pt>
                <c:pt idx="8">
                  <c:v>78923</c:v>
                </c:pt>
                <c:pt idx="9">
                  <c:v>100038</c:v>
                </c:pt>
                <c:pt idx="10">
                  <c:v>118267</c:v>
                </c:pt>
                <c:pt idx="11">
                  <c:v>128968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271-4B8C-B6A9-4BA10104E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400352"/>
        <c:axId val="663400832"/>
      </c:scatterChart>
      <c:valAx>
        <c:axId val="663400352"/>
        <c:scaling>
          <c:orientation val="minMax"/>
          <c:min val="190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832"/>
        <c:crosses val="autoZero"/>
        <c:crossBetween val="midCat"/>
      </c:valAx>
      <c:valAx>
        <c:axId val="6634008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Población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4228120485663263E-2"/>
          <c:y val="8.8334680797241008E-2"/>
          <c:w val="0.14878534743287594"/>
          <c:h val="0.2861204543749992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ProyectadaTotal!$B$33</c:f>
          <c:strCache>
            <c:ptCount val="1"/>
            <c:pt idx="0">
              <c:v>DANE - Población censal Municipio y población proyectada a 50 años para el ajuste seleccionado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094480305121253E-2"/>
          <c:y val="8.7516772934320683E-2"/>
          <c:w val="0.88538511457614932"/>
          <c:h val="0.83757935109742632"/>
        </c:manualLayout>
      </c:layout>
      <c:scatterChart>
        <c:scatterStyle val="smoothMarker"/>
        <c:varyColors val="0"/>
        <c:ser>
          <c:idx val="9"/>
          <c:order val="0"/>
          <c:tx>
            <c:strRef>
              <c:f>PoblacionGIS!$D$1</c:f>
              <c:strCache>
                <c:ptCount val="1"/>
                <c:pt idx="0">
                  <c:v>PTotal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  <a:headEnd type="none" w="sm" len="sm"/>
              <a:tailEnd type="none" w="sm" len="sm"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8"/>
              <c:layout>
                <c:manualLayout>
                  <c:x val="-1.3294996228152521E-2"/>
                  <c:y val="-5.63279638167805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856-43A4-86B4-4B0E8EF8794C}"/>
                </c:ext>
              </c:extLst>
            </c:dLbl>
            <c:dLbl>
              <c:idx val="10"/>
              <c:layout>
                <c:manualLayout>
                  <c:x val="-1.9522160737825908E-2"/>
                  <c:y val="-5.75538699544786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856-43A4-86B4-4B0E8EF8794C}"/>
                </c:ext>
              </c:extLst>
            </c:dLbl>
            <c:dLbl>
              <c:idx val="11"/>
              <c:layout>
                <c:manualLayout>
                  <c:x val="-1.1219274724928159E-2"/>
                  <c:y val="-6.53988747405178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856-43A4-86B4-4B0E8EF879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PoblacionGIS!$C$2:$C$23</c:f>
              <c:numCache>
                <c:formatCode>General</c:formatCode>
                <c:ptCount val="22"/>
                <c:pt idx="0">
                  <c:v>1905</c:v>
                </c:pt>
                <c:pt idx="1">
                  <c:v>1928</c:v>
                </c:pt>
                <c:pt idx="2">
                  <c:v>1938</c:v>
                </c:pt>
                <c:pt idx="3">
                  <c:v>1951</c:v>
                </c:pt>
                <c:pt idx="4">
                  <c:v>1964</c:v>
                </c:pt>
                <c:pt idx="5">
                  <c:v>1973</c:v>
                </c:pt>
                <c:pt idx="6">
                  <c:v>1985</c:v>
                </c:pt>
                <c:pt idx="7">
                  <c:v>1993</c:v>
                </c:pt>
                <c:pt idx="8">
                  <c:v>1995</c:v>
                </c:pt>
                <c:pt idx="9">
                  <c:v>2005</c:v>
                </c:pt>
                <c:pt idx="10">
                  <c:v>2018</c:v>
                </c:pt>
                <c:pt idx="11">
                  <c:v>2019</c:v>
                </c:pt>
                <c:pt idx="12">
                  <c:v>2024</c:v>
                </c:pt>
                <c:pt idx="13">
                  <c:v>2029</c:v>
                </c:pt>
                <c:pt idx="14">
                  <c:v>2034</c:v>
                </c:pt>
                <c:pt idx="15">
                  <c:v>2039</c:v>
                </c:pt>
                <c:pt idx="16">
                  <c:v>2044</c:v>
                </c:pt>
                <c:pt idx="17">
                  <c:v>2049</c:v>
                </c:pt>
                <c:pt idx="18">
                  <c:v>2054</c:v>
                </c:pt>
                <c:pt idx="19">
                  <c:v>2059</c:v>
                </c:pt>
                <c:pt idx="20">
                  <c:v>2064</c:v>
                </c:pt>
                <c:pt idx="21">
                  <c:v>2069</c:v>
                </c:pt>
              </c:numCache>
            </c:numRef>
          </c:xVal>
          <c:yVal>
            <c:numRef>
              <c:f>PoblacionGIS!$D$2:$D$23</c:f>
              <c:numCache>
                <c:formatCode>General</c:formatCode>
                <c:ptCount val="22"/>
                <c:pt idx="0">
                  <c:v>7108</c:v>
                </c:pt>
                <c:pt idx="1">
                  <c:v>11480</c:v>
                </c:pt>
                <c:pt idx="2">
                  <c:v>12273</c:v>
                </c:pt>
                <c:pt idx="3">
                  <c:v>20628</c:v>
                </c:pt>
                <c:pt idx="4">
                  <c:v>27775</c:v>
                </c:pt>
                <c:pt idx="5">
                  <c:v>39836</c:v>
                </c:pt>
                <c:pt idx="6">
                  <c:v>60202</c:v>
                </c:pt>
                <c:pt idx="7">
                  <c:v>69695</c:v>
                </c:pt>
                <c:pt idx="8">
                  <c:v>78923</c:v>
                </c:pt>
                <c:pt idx="9">
                  <c:v>100038</c:v>
                </c:pt>
                <c:pt idx="10">
                  <c:v>128968</c:v>
                </c:pt>
                <c:pt idx="11">
                  <c:v>127918</c:v>
                </c:pt>
                <c:pt idx="12">
                  <c:v>140346</c:v>
                </c:pt>
                <c:pt idx="13">
                  <c:v>153383</c:v>
                </c:pt>
                <c:pt idx="14">
                  <c:v>167026</c:v>
                </c:pt>
                <c:pt idx="15">
                  <c:v>181278</c:v>
                </c:pt>
                <c:pt idx="16">
                  <c:v>196136</c:v>
                </c:pt>
                <c:pt idx="17">
                  <c:v>211602</c:v>
                </c:pt>
                <c:pt idx="18">
                  <c:v>227676</c:v>
                </c:pt>
                <c:pt idx="19">
                  <c:v>244356</c:v>
                </c:pt>
                <c:pt idx="20">
                  <c:v>261645</c:v>
                </c:pt>
                <c:pt idx="21">
                  <c:v>279540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856-43A4-86B4-4B0E8EF87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400352"/>
        <c:axId val="663400832"/>
      </c:scatterChart>
      <c:valAx>
        <c:axId val="663400352"/>
        <c:scaling>
          <c:orientation val="minMax"/>
          <c:min val="190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832"/>
        <c:crosses val="autoZero"/>
        <c:crossBetween val="midCat"/>
      </c:valAx>
      <c:valAx>
        <c:axId val="6634008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Población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837951387606352E-2"/>
          <c:y val="9.84273849352469E-2"/>
          <c:w val="7.3021512565183994E-2"/>
          <c:h val="4.7994344465164852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19926C-FDFD-4B6F-9591-D15E2C7B4756}">
  <sheetPr/>
  <sheetViews>
    <sheetView zoomScale="130" workbookViewId="0"/>
  </sheetViews>
  <pageMargins left="0.25" right="0.25" top="0.75" bottom="0.75" header="0.3" footer="0.3"/>
  <pageSetup paperSize="5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74D3F2C-D5F1-41AE-ACE4-DFC0B9A95345}">
  <sheetPr/>
  <sheetViews>
    <sheetView zoomScale="131" workbookViewId="0" zoomToFit="1"/>
  </sheetViews>
  <pageMargins left="0.25" right="0.25" top="0.75" bottom="0.75" header="0.3" footer="0.3"/>
  <pageSetup paperSize="5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C66609-86C6-4B72-9620-31705379CED0}">
  <sheetPr/>
  <sheetViews>
    <sheetView zoomScale="131" workbookViewId="0" zoomToFit="1"/>
  </sheetViews>
  <pageMargins left="0.25" right="0.25" top="0.75" bottom="0.75" header="0.3" footer="0.3"/>
  <pageSetup paperSize="5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228635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2B9D6-C519-36EA-863F-98A18A8884C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236709" cy="629330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5042FF-A425-4B26-20E6-D41A21F207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237044" cy="629213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4F964-2B94-23E4-A3A2-70F68F0212E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3F7D-8A04-4EDE-8789-543ED0F016DA}">
  <dimension ref="A1:X26"/>
  <sheetViews>
    <sheetView showGridLines="0" zoomScale="130" zoomScaleNormal="130" workbookViewId="0">
      <pane ySplit="1" topLeftCell="A2" activePane="bottomLeft" state="frozen"/>
      <selection pane="bottomLeft" activeCell="G1" sqref="G1:I1048576"/>
    </sheetView>
  </sheetViews>
  <sheetFormatPr defaultColWidth="9.1328125" defaultRowHeight="16.5" x14ac:dyDescent="0.45"/>
  <cols>
    <col min="1" max="1" width="9.53125" style="12" customWidth="1"/>
    <col min="2" max="2" width="9.9296875" style="12" customWidth="1"/>
    <col min="3" max="3" width="8.59765625" style="2" customWidth="1"/>
    <col min="4" max="4" width="10.46484375" style="2" customWidth="1"/>
    <col min="5" max="5" width="11.59765625" style="2" customWidth="1"/>
    <col min="6" max="9" width="10.9296875" style="2" customWidth="1"/>
    <col min="10" max="12" width="10.46484375" style="2" customWidth="1"/>
    <col min="13" max="14" width="9.1328125" style="2"/>
    <col min="15" max="17" width="10.46484375" style="2" customWidth="1"/>
    <col min="18" max="19" width="9.1328125" style="2"/>
    <col min="20" max="22" width="10.46484375" style="2" customWidth="1"/>
    <col min="23" max="16384" width="9.1328125" style="2"/>
  </cols>
  <sheetData>
    <row r="1" spans="1:24" x14ac:dyDescent="0.45">
      <c r="A1" s="10" t="s">
        <v>2</v>
      </c>
      <c r="B1" s="10" t="s">
        <v>13</v>
      </c>
      <c r="C1" s="10" t="s">
        <v>3</v>
      </c>
      <c r="D1" s="10" t="s">
        <v>4</v>
      </c>
      <c r="E1" s="10" t="s">
        <v>37</v>
      </c>
      <c r="F1" s="10" t="s">
        <v>38</v>
      </c>
      <c r="G1" s="10" t="s">
        <v>73</v>
      </c>
      <c r="H1" s="10" t="s">
        <v>74</v>
      </c>
      <c r="I1" s="10" t="s">
        <v>75</v>
      </c>
      <c r="J1" s="10" t="s">
        <v>28</v>
      </c>
      <c r="K1" s="10" t="s">
        <v>29</v>
      </c>
      <c r="L1" s="10" t="s">
        <v>30</v>
      </c>
      <c r="M1" s="10" t="s">
        <v>61</v>
      </c>
      <c r="N1" s="10" t="s">
        <v>67</v>
      </c>
      <c r="O1" s="10" t="s">
        <v>33</v>
      </c>
      <c r="P1" s="10" t="s">
        <v>31</v>
      </c>
      <c r="Q1" s="10" t="s">
        <v>32</v>
      </c>
      <c r="R1" s="10" t="s">
        <v>62</v>
      </c>
      <c r="S1" s="10" t="s">
        <v>68</v>
      </c>
      <c r="T1" s="10" t="s">
        <v>34</v>
      </c>
      <c r="U1" s="10" t="s">
        <v>35</v>
      </c>
      <c r="V1" s="10" t="s">
        <v>36</v>
      </c>
      <c r="W1" s="10" t="s">
        <v>63</v>
      </c>
      <c r="X1" s="10" t="s">
        <v>69</v>
      </c>
    </row>
    <row r="2" spans="1:24" x14ac:dyDescent="0.45">
      <c r="A2" s="9" t="s">
        <v>65</v>
      </c>
      <c r="B2" s="9" t="s">
        <v>14</v>
      </c>
      <c r="C2" s="9">
        <v>1905</v>
      </c>
      <c r="D2" s="9">
        <v>7108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x14ac:dyDescent="0.45">
      <c r="A3" s="11" t="str">
        <f>$A$2</f>
        <v>DANE</v>
      </c>
      <c r="B3" s="11" t="str">
        <f>$B$2</f>
        <v>Municipio</v>
      </c>
      <c r="C3" s="9">
        <v>1928</v>
      </c>
      <c r="D3" s="9">
        <v>11480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x14ac:dyDescent="0.45">
      <c r="A4" s="11" t="str">
        <f t="shared" ref="A4:A13" si="0">$A$2</f>
        <v>DANE</v>
      </c>
      <c r="B4" s="11" t="str">
        <f t="shared" ref="B4:B13" si="1">$B$2</f>
        <v>Municipio</v>
      </c>
      <c r="C4" s="9">
        <v>1938</v>
      </c>
      <c r="D4" s="9">
        <v>12273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x14ac:dyDescent="0.45">
      <c r="A5" s="11" t="str">
        <f t="shared" si="0"/>
        <v>DANE</v>
      </c>
      <c r="B5" s="11" t="str">
        <f t="shared" si="1"/>
        <v>Municipio</v>
      </c>
      <c r="C5" s="9">
        <v>1951</v>
      </c>
      <c r="D5" s="9">
        <v>20628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x14ac:dyDescent="0.45">
      <c r="A6" s="11" t="str">
        <f t="shared" si="0"/>
        <v>DANE</v>
      </c>
      <c r="B6" s="11" t="str">
        <f t="shared" si="1"/>
        <v>Municipio</v>
      </c>
      <c r="C6" s="9">
        <v>1964</v>
      </c>
      <c r="D6" s="9">
        <v>27775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 x14ac:dyDescent="0.45">
      <c r="A7" s="11" t="str">
        <f t="shared" si="0"/>
        <v>DANE</v>
      </c>
      <c r="B7" s="11" t="str">
        <f t="shared" si="1"/>
        <v>Municipio</v>
      </c>
      <c r="C7" s="9">
        <v>1973</v>
      </c>
      <c r="D7" s="9">
        <v>39836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x14ac:dyDescent="0.45">
      <c r="A8" s="11" t="str">
        <f t="shared" si="0"/>
        <v>DANE</v>
      </c>
      <c r="B8" s="11" t="str">
        <f t="shared" si="1"/>
        <v>Municipio</v>
      </c>
      <c r="C8" s="9">
        <v>1985</v>
      </c>
      <c r="D8" s="9">
        <v>60202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 x14ac:dyDescent="0.45">
      <c r="A9" s="11" t="str">
        <f t="shared" si="0"/>
        <v>DANE</v>
      </c>
      <c r="B9" s="11" t="str">
        <f t="shared" si="1"/>
        <v>Municipio</v>
      </c>
      <c r="C9" s="9">
        <v>1993</v>
      </c>
      <c r="D9" s="9">
        <v>69695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 x14ac:dyDescent="0.45">
      <c r="A10" s="11" t="str">
        <f t="shared" si="0"/>
        <v>DANE</v>
      </c>
      <c r="B10" s="11" t="str">
        <f t="shared" si="1"/>
        <v>Municipio</v>
      </c>
      <c r="C10" s="9">
        <v>1995</v>
      </c>
      <c r="D10" s="9">
        <v>78923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 x14ac:dyDescent="0.45">
      <c r="A11" s="11" t="str">
        <f t="shared" si="0"/>
        <v>DANE</v>
      </c>
      <c r="B11" s="11" t="str">
        <f t="shared" si="1"/>
        <v>Municipio</v>
      </c>
      <c r="C11" s="9">
        <v>2005</v>
      </c>
      <c r="D11" s="9">
        <v>100038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 x14ac:dyDescent="0.45">
      <c r="A12" s="11" t="str">
        <f t="shared" si="0"/>
        <v>DANE</v>
      </c>
      <c r="B12" s="11" t="str">
        <f t="shared" si="1"/>
        <v>Municipio</v>
      </c>
      <c r="C12" s="9">
        <v>2017</v>
      </c>
      <c r="D12" s="9">
        <v>118267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x14ac:dyDescent="0.45">
      <c r="A13" s="11" t="str">
        <f t="shared" si="0"/>
        <v>DANE</v>
      </c>
      <c r="B13" s="11" t="str">
        <f t="shared" si="1"/>
        <v>Municipio</v>
      </c>
      <c r="C13" s="9">
        <v>2018</v>
      </c>
      <c r="D13" s="9">
        <v>128968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x14ac:dyDescent="0.45">
      <c r="A14" s="11"/>
      <c r="B14" s="11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x14ac:dyDescent="0.45">
      <c r="A15" s="11"/>
      <c r="B15" s="11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x14ac:dyDescent="0.45"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3:24" x14ac:dyDescent="0.45"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3:24" x14ac:dyDescent="0.45"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3:24" x14ac:dyDescent="0.45"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3:24" x14ac:dyDescent="0.45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3:24" x14ac:dyDescent="0.45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3:24" x14ac:dyDescent="0.45"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3:24" x14ac:dyDescent="0.45"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3:24" x14ac:dyDescent="0.45"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3:24" x14ac:dyDescent="0.45"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3:24" x14ac:dyDescent="0.45"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</sheetData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5B67-A9CB-4F86-9CEB-D63DBE20F700}">
  <dimension ref="B2:G23"/>
  <sheetViews>
    <sheetView showGridLines="0" zoomScale="145" zoomScaleNormal="145" workbookViewId="0">
      <pane ySplit="2" topLeftCell="A5" activePane="bottomLeft" state="frozen"/>
      <selection pane="bottomLeft" activeCell="D6" sqref="D6:E6"/>
    </sheetView>
  </sheetViews>
  <sheetFormatPr defaultColWidth="9.19921875" defaultRowHeight="16.5" x14ac:dyDescent="0.45"/>
  <cols>
    <col min="1" max="1" width="2.6640625" style="44" customWidth="1"/>
    <col min="2" max="2" width="20.46484375" style="44" customWidth="1"/>
    <col min="3" max="3" width="9.19921875" style="44"/>
    <col min="4" max="4" width="5" style="44" customWidth="1"/>
    <col min="5" max="5" width="18.3984375" style="44" customWidth="1"/>
    <col min="6" max="6" width="9.19921875" style="44"/>
    <col min="7" max="7" width="20.46484375" style="44" customWidth="1"/>
    <col min="8" max="8" width="2.6640625" style="44" customWidth="1"/>
    <col min="9" max="16384" width="9.19921875" style="44"/>
  </cols>
  <sheetData>
    <row r="2" spans="2:7" x14ac:dyDescent="0.45">
      <c r="B2" s="65" t="s">
        <v>54</v>
      </c>
      <c r="C2" s="65"/>
      <c r="D2" s="65"/>
      <c r="E2" s="65"/>
      <c r="F2" s="65"/>
      <c r="G2" s="65"/>
    </row>
    <row r="4" spans="2:7" ht="24" x14ac:dyDescent="0.45">
      <c r="B4" s="45" t="s">
        <v>40</v>
      </c>
      <c r="C4" s="32">
        <v>342</v>
      </c>
      <c r="D4" s="33"/>
      <c r="E4" s="33"/>
      <c r="F4" s="34">
        <v>976</v>
      </c>
      <c r="G4" s="44" t="s">
        <v>42</v>
      </c>
    </row>
    <row r="5" spans="2:7" ht="18.75" x14ac:dyDescent="0.45">
      <c r="B5" s="45"/>
      <c r="C5" s="66" t="s">
        <v>45</v>
      </c>
      <c r="D5" s="67"/>
      <c r="E5" s="67"/>
      <c r="F5" s="68"/>
    </row>
    <row r="6" spans="2:7" ht="26.25" x14ac:dyDescent="0.45">
      <c r="B6" s="45"/>
      <c r="C6" s="35"/>
      <c r="D6" s="63">
        <f>MAX(Censal!D2:D102)</f>
        <v>128968</v>
      </c>
      <c r="E6" s="64"/>
      <c r="F6" s="36"/>
    </row>
    <row r="7" spans="2:7" ht="24" x14ac:dyDescent="0.45">
      <c r="B7" s="45" t="s">
        <v>41</v>
      </c>
      <c r="C7" s="37">
        <v>64</v>
      </c>
      <c r="D7" s="38"/>
      <c r="E7" s="38"/>
      <c r="F7" s="39">
        <v>342</v>
      </c>
      <c r="G7" s="44" t="s">
        <v>43</v>
      </c>
    </row>
    <row r="8" spans="2:7" ht="20.25" x14ac:dyDescent="0.45">
      <c r="B8" s="45"/>
      <c r="C8" s="46" t="s">
        <v>39</v>
      </c>
      <c r="D8" s="46"/>
      <c r="E8" s="46"/>
      <c r="F8" s="46" t="s">
        <v>39</v>
      </c>
    </row>
    <row r="9" spans="2:7" ht="33" x14ac:dyDescent="0.45">
      <c r="B9" s="43" t="s">
        <v>58</v>
      </c>
      <c r="C9" s="41">
        <f>C4-C7</f>
        <v>278</v>
      </c>
      <c r="F9" s="40">
        <f>F4-F7</f>
        <v>634</v>
      </c>
      <c r="G9" s="42" t="s">
        <v>57</v>
      </c>
    </row>
    <row r="10" spans="2:7" ht="20.25" x14ac:dyDescent="0.45">
      <c r="C10" s="46" t="s">
        <v>39</v>
      </c>
      <c r="D10" s="46"/>
      <c r="E10" s="46"/>
      <c r="F10" s="46" t="s">
        <v>39</v>
      </c>
    </row>
    <row r="11" spans="2:7" x14ac:dyDescent="0.45">
      <c r="C11" s="69" t="s">
        <v>44</v>
      </c>
      <c r="D11" s="70"/>
      <c r="E11" s="70"/>
      <c r="F11" s="71"/>
    </row>
    <row r="12" spans="2:7" ht="24" x14ac:dyDescent="0.45">
      <c r="C12" s="59">
        <f>C9+F9</f>
        <v>912</v>
      </c>
      <c r="D12" s="60"/>
      <c r="E12" s="60"/>
      <c r="F12" s="61"/>
    </row>
    <row r="13" spans="2:7" ht="20.25" x14ac:dyDescent="0.45">
      <c r="C13" s="46" t="s">
        <v>39</v>
      </c>
      <c r="D13" s="46"/>
      <c r="E13" s="46"/>
      <c r="F13" s="46" t="s">
        <v>39</v>
      </c>
    </row>
    <row r="14" spans="2:7" ht="37.5" x14ac:dyDescent="0.45">
      <c r="B14" s="48" t="s">
        <v>55</v>
      </c>
      <c r="C14" s="49">
        <f>D6+C12</f>
        <v>129880</v>
      </c>
      <c r="F14" s="50">
        <f>(D6+C14)/2</f>
        <v>129424</v>
      </c>
      <c r="G14" s="47" t="s">
        <v>56</v>
      </c>
    </row>
    <row r="15" spans="2:7" ht="20.25" x14ac:dyDescent="0.45">
      <c r="C15" s="46"/>
      <c r="D15" s="46"/>
      <c r="E15" s="46"/>
      <c r="F15" s="46"/>
    </row>
    <row r="16" spans="2:7" s="53" customFormat="1" ht="15.4" x14ac:dyDescent="0.45">
      <c r="B16" s="53" t="s">
        <v>47</v>
      </c>
      <c r="C16" s="54"/>
      <c r="D16" s="54"/>
      <c r="E16" s="54"/>
      <c r="F16" s="54"/>
    </row>
    <row r="17" spans="2:7" s="51" customFormat="1" ht="15.4" x14ac:dyDescent="0.45">
      <c r="B17" s="62" t="s">
        <v>46</v>
      </c>
      <c r="C17" s="62"/>
      <c r="D17" s="62"/>
      <c r="E17" s="62"/>
      <c r="F17" s="62"/>
      <c r="G17" s="52">
        <f>(C12/F14)*1000</f>
        <v>7.0466065026579301</v>
      </c>
    </row>
    <row r="18" spans="2:7" s="51" customFormat="1" ht="15.4" x14ac:dyDescent="0.45">
      <c r="B18" s="62" t="s">
        <v>49</v>
      </c>
      <c r="C18" s="62"/>
      <c r="D18" s="62"/>
      <c r="E18" s="62"/>
      <c r="F18" s="62"/>
      <c r="G18" s="52">
        <f>(C4/F14)*1000</f>
        <v>2.6424774384967242</v>
      </c>
    </row>
    <row r="19" spans="2:7" s="51" customFormat="1" ht="15.4" x14ac:dyDescent="0.45">
      <c r="B19" s="62" t="s">
        <v>50</v>
      </c>
      <c r="C19" s="62"/>
      <c r="D19" s="62"/>
      <c r="E19" s="62"/>
      <c r="F19" s="62"/>
      <c r="G19" s="52">
        <f>(C7/F14)*1000</f>
        <v>0.49449870194090745</v>
      </c>
    </row>
    <row r="20" spans="2:7" s="51" customFormat="1" ht="15.4" x14ac:dyDescent="0.45">
      <c r="B20" s="62" t="s">
        <v>48</v>
      </c>
      <c r="C20" s="62"/>
      <c r="D20" s="62"/>
      <c r="E20" s="62"/>
      <c r="F20" s="62"/>
      <c r="G20" s="52">
        <f>G18-G19</f>
        <v>2.1479787365558169</v>
      </c>
    </row>
    <row r="21" spans="2:7" x14ac:dyDescent="0.45">
      <c r="B21" s="62" t="s">
        <v>51</v>
      </c>
      <c r="C21" s="62"/>
      <c r="D21" s="62"/>
      <c r="E21" s="62"/>
      <c r="F21" s="62"/>
      <c r="G21" s="52">
        <f>(F4/F14)*1000</f>
        <v>7.5411052045988383</v>
      </c>
    </row>
    <row r="22" spans="2:7" ht="17.2" customHeight="1" x14ac:dyDescent="0.45">
      <c r="B22" s="62" t="s">
        <v>52</v>
      </c>
      <c r="C22" s="62"/>
      <c r="D22" s="62"/>
      <c r="E22" s="62"/>
      <c r="F22" s="62"/>
      <c r="G22" s="52">
        <f>(F7/F14)*1000</f>
        <v>2.6424774384967242</v>
      </c>
    </row>
    <row r="23" spans="2:7" x14ac:dyDescent="0.45">
      <c r="B23" s="62" t="s">
        <v>53</v>
      </c>
      <c r="C23" s="62"/>
      <c r="D23" s="62"/>
      <c r="E23" s="62"/>
      <c r="F23" s="62"/>
      <c r="G23" s="52">
        <f>G21-G22</f>
        <v>4.8986277661021145</v>
      </c>
    </row>
  </sheetData>
  <mergeCells count="12">
    <mergeCell ref="B19:F19"/>
    <mergeCell ref="B20:F20"/>
    <mergeCell ref="B21:F21"/>
    <mergeCell ref="B22:F22"/>
    <mergeCell ref="B23:F23"/>
    <mergeCell ref="C12:F12"/>
    <mergeCell ref="B17:F17"/>
    <mergeCell ref="B18:F18"/>
    <mergeCell ref="D6:E6"/>
    <mergeCell ref="B2:G2"/>
    <mergeCell ref="C5:F5"/>
    <mergeCell ref="C11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697D0-7CF3-40B1-9A24-C33BBE54D035}">
  <dimension ref="B2:M38"/>
  <sheetViews>
    <sheetView showGridLines="0" tabSelected="1" topLeftCell="A2" zoomScale="145" zoomScaleNormal="145" workbookViewId="0">
      <selection activeCell="F19" sqref="F19"/>
    </sheetView>
  </sheetViews>
  <sheetFormatPr defaultColWidth="9.19921875" defaultRowHeight="16.5" x14ac:dyDescent="0.45"/>
  <cols>
    <col min="1" max="1" width="2.6640625" style="2" customWidth="1"/>
    <col min="2" max="2" width="17.53125" style="2" customWidth="1"/>
    <col min="3" max="3" width="12.9296875" style="2" customWidth="1"/>
    <col min="4" max="4" width="11.73046875" style="2" customWidth="1"/>
    <col min="5" max="13" width="11.59765625" style="2" customWidth="1"/>
    <col min="14" max="18" width="9.19921875" style="2" customWidth="1"/>
    <col min="19" max="19" width="13.6640625" style="2" customWidth="1"/>
    <col min="20" max="24" width="9.19921875" style="2" customWidth="1"/>
    <col min="25" max="25" width="13.6640625" style="2" customWidth="1"/>
    <col min="26" max="33" width="9.19921875" style="2" customWidth="1"/>
    <col min="34" max="34" width="12.9296875" style="2" bestFit="1" customWidth="1"/>
    <col min="35" max="35" width="9.19921875" style="2" customWidth="1"/>
    <col min="36" max="16384" width="9.19921875" style="2"/>
  </cols>
  <sheetData>
    <row r="2" spans="2:13" x14ac:dyDescent="0.45">
      <c r="B2" s="2" t="s">
        <v>70</v>
      </c>
    </row>
    <row r="3" spans="2:13" s="1" customFormat="1" ht="33" x14ac:dyDescent="0.45">
      <c r="B3" s="72" t="s">
        <v>27</v>
      </c>
      <c r="C3" s="73"/>
      <c r="D3" s="16" t="s">
        <v>8</v>
      </c>
      <c r="E3" s="14" t="s">
        <v>5</v>
      </c>
      <c r="F3" s="14" t="s">
        <v>6</v>
      </c>
      <c r="G3" s="14" t="s">
        <v>9</v>
      </c>
      <c r="H3" s="14" t="s">
        <v>10</v>
      </c>
      <c r="I3" s="14" t="s">
        <v>11</v>
      </c>
      <c r="J3" s="14" t="s">
        <v>12</v>
      </c>
      <c r="K3" s="14" t="s">
        <v>0</v>
      </c>
      <c r="L3" s="14" t="s">
        <v>1</v>
      </c>
      <c r="M3" s="15" t="s">
        <v>15</v>
      </c>
    </row>
    <row r="4" spans="2:13" x14ac:dyDescent="0.45">
      <c r="B4" s="74"/>
      <c r="C4" s="75"/>
      <c r="D4" s="25" t="s">
        <v>16</v>
      </c>
      <c r="E4" s="23" cm="1">
        <f t="array" ref="E4">INDEX(LINEST(Censal!D2:D13,Censal!C2:C13^{1},TRUE,TRUE),1,1)</f>
        <v>1117.7981408008854</v>
      </c>
      <c r="F4" s="23" cm="1">
        <f t="array" ref="F4">INDEX(LINEST(Censal!D2:D13,Censal!C2:C13^{1,2},TRUE,TRUE),1,1)</f>
        <v>12.148251032555738</v>
      </c>
      <c r="G4" s="23" cm="1">
        <f t="array" ref="G4">INDEX(LINEST(Censal!D2:D13,Censal!C2:C13^{1,2,3},TRUE,TRUE),1,1)</f>
        <v>2.0673347876273049E-2</v>
      </c>
      <c r="H4" s="23" cm="1">
        <f t="array" ref="H4">INDEX(LINEST(Censal!D2:D13,Censal!C2:C13^{1,2,3,4},TRUE,TRUE),1,1)</f>
        <v>-1.7006018640907902E-3</v>
      </c>
      <c r="I4" s="23" cm="1">
        <f t="array" ref="I4">INDEX(LINEST(Censal!D2:D13,Censal!C2:C13^{1,2,3,4,5},TRUE,TRUE),1,1)</f>
        <v>-6.961962624513055E-7</v>
      </c>
      <c r="J4" s="23" cm="1">
        <f t="array" ref="J4">INDEX(LINEST(Censal!D2:D13,Censal!C2:C13^{1,2,3,4,5,6},TRUE,TRUE),1,1)</f>
        <v>-2.9658650024434717E-10</v>
      </c>
      <c r="K4" s="23" cm="1">
        <f t="array" ref="K4">INDEX(LINEST(Censal!D2:D13,LN(Censal!C2:C13)^{1},TRUE,TRUE),1,1)</f>
        <v>2189522.866404884</v>
      </c>
      <c r="L4" s="23" cm="1">
        <f t="array" ref="L4">INDEX(LINEST(LOG(Censal!D2:D13),LOG(Censal!C2:C13)^{1},TRUE,TRUE),1,1)</f>
        <v>53.475614154372501</v>
      </c>
      <c r="M4" s="24" cm="1">
        <f t="array" ref="M4">INDEX(LINEST(LN(Censal!D2:D13),Censal!C2:C13^{1},TRUE,TRUE),1,1)</f>
        <v>2.7224153885616099E-2</v>
      </c>
    </row>
    <row r="5" spans="2:13" x14ac:dyDescent="0.45">
      <c r="B5" s="74"/>
      <c r="C5" s="75"/>
      <c r="D5" s="25" t="s">
        <v>17</v>
      </c>
      <c r="E5" s="23" cm="1">
        <f t="array" ref="E5">INDEX(LINEST(Censal!D2:D13,Censal!C2:C13^{1},TRUE,TRUE),1,2)</f>
        <v>-2148777.0490865465</v>
      </c>
      <c r="F5" s="23" cm="1">
        <f t="array" ref="F5">INDEX(LINEST(Censal!D2:D13,Censal!C2:C13^{1,2},TRUE,TRUE),1,2)</f>
        <v>-46629.59670094942</v>
      </c>
      <c r="G5" s="23" cm="1">
        <f t="array" ref="G5">INDEX(LINEST(Censal!D2:D13,Censal!C2:C13^{1,2,3},TRUE,TRUE),1,2)</f>
        <v>-109.61057816308812</v>
      </c>
      <c r="H5" s="23" cm="1">
        <f t="array" ref="H5">INDEX(LINEST(Censal!D2:D13,Censal!C2:C13^{1,2,3,4},TRUE,TRUE),1,2)</f>
        <v>13.372296023420141</v>
      </c>
      <c r="I5" s="23" cm="1">
        <f t="array" ref="I5">INDEX(LINEST(Censal!D2:D13,Censal!C2:C13^{1,2,3,4,5},TRUE,TRUE),1,2)</f>
        <v>5.1309803701907698E-3</v>
      </c>
      <c r="J5" s="23" cm="1">
        <f t="array" ref="J5">INDEX(LINEST(Censal!D2:D13,Censal!C2:C13^{1,2,3,4,5,6},TRUE,TRUE),1,2)</f>
        <v>2.0979244290507049E-6</v>
      </c>
      <c r="K5" s="23" cm="1">
        <f t="array" ref="K5">INDEX(LINEST(Censal!D2:D13,LN(Censal!C2:C13)^{1},TRUE,TRUE),1,2)</f>
        <v>-16555613.216459444</v>
      </c>
      <c r="L5" s="23" cm="1">
        <f t="array" ref="L5">INDEX(LINEST(LOG(Censal!D2:D13),LOG(Censal!C2:C13)^{1},TRUE,TRUE),1,2)</f>
        <v>-171.61286171989738</v>
      </c>
      <c r="M5" s="24" cm="1">
        <f t="array" ref="M5">EXP(INDEX(LINEST(LN(Censal!D2:D13),Censal!C2:C13^{1},TRUE,TRUE),1,2))</f>
        <v>1.8412667744698342E-19</v>
      </c>
    </row>
    <row r="6" spans="2:13" x14ac:dyDescent="0.45">
      <c r="B6" s="74"/>
      <c r="C6" s="75"/>
      <c r="D6" s="25" t="s">
        <v>18</v>
      </c>
      <c r="E6" s="23"/>
      <c r="F6" s="23" cm="1">
        <f t="array" ref="F6">INDEX(LINEST(Censal!D2:D13,Censal!C2:C13^{1,2},TRUE,TRUE),1,3)</f>
        <v>44752416.537561163</v>
      </c>
      <c r="G6" s="23" cm="1">
        <f t="array" ref="G6">INDEX(LINEST(Censal!D2:D13,Censal!C2:C13^{1,2,3},TRUE,TRUE),1,3)</f>
        <v>192360.83148428792</v>
      </c>
      <c r="H6" s="23" cm="1">
        <f t="array" ref="H6">INDEX(LINEST(Censal!D2:D13,Censal!C2:C13^{1,2,3,4},TRUE,TRUE),1,3)</f>
        <v>-39413.283892035513</v>
      </c>
      <c r="I6" s="23" cm="1">
        <f t="array" ref="I6">INDEX(LINEST(Censal!D2:D13,Censal!C2:C13^{1,2,3,4,5},TRUE,TRUE),1,3)</f>
        <v>-13.439478537869496</v>
      </c>
      <c r="J6" s="23" cm="1">
        <f t="array" ref="J6">INDEX(LINEST(Censal!D2:D13,Censal!C2:C13^{1,2,3,4,5,6},TRUE,TRUE),1,3)</f>
        <v>-5.1504523379324553E-3</v>
      </c>
      <c r="K6" s="23"/>
      <c r="L6" s="23"/>
      <c r="M6" s="24"/>
    </row>
    <row r="7" spans="2:13" x14ac:dyDescent="0.45">
      <c r="B7" s="74"/>
      <c r="C7" s="75"/>
      <c r="D7" s="25" t="s">
        <v>19</v>
      </c>
      <c r="E7" s="23"/>
      <c r="F7" s="23"/>
      <c r="G7" s="23" cm="1">
        <f t="array" ref="G7">INDEX(LINEST(Censal!D2:D13,Censal!C2:C13^{1,2,3},TRUE,TRUE),1,4)</f>
        <v>-111580557.5310514</v>
      </c>
      <c r="H7" s="23" cm="1">
        <f t="array" ref="H7">INDEX(LINEST(Censal!D2:D13,Censal!C2:C13^{1,2,3,4},TRUE,TRUE),1,4)</f>
        <v>51606905.334161445</v>
      </c>
      <c r="I7" s="23" cm="1">
        <f t="array" ref="I7">INDEX(LINEST(Censal!D2:D13,Censal!C2:C13^{1,2,3,4,5},TRUE,TRUE),1,4)</f>
        <v>13195.034142363314</v>
      </c>
      <c r="J7" s="23" cm="1">
        <f t="array" ref="J7">INDEX(LINEST(Censal!D2:D13,Censal!C2:C13^{1,2,3,4,5,6},TRUE,TRUE),1,4)</f>
        <v>4.4939330094431948</v>
      </c>
      <c r="K7" s="23"/>
      <c r="L7" s="23"/>
      <c r="M7" s="24"/>
    </row>
    <row r="8" spans="2:13" x14ac:dyDescent="0.45">
      <c r="B8" s="74"/>
      <c r="C8" s="75"/>
      <c r="D8" s="25" t="s">
        <v>20</v>
      </c>
      <c r="E8" s="23"/>
      <c r="F8" s="23"/>
      <c r="G8" s="23"/>
      <c r="H8" s="23" cm="1">
        <f t="array" ref="H8">INDEX(LINEST(Censal!D2:D13,Censal!C2:C13^{1,2,3,4},TRUE,TRUE),1,5)</f>
        <v>-25329325906.513863</v>
      </c>
      <c r="I8" s="23" cm="1">
        <f t="array" ref="I8">INDEX(LINEST(Censal!D2:D13,Censal!C2:C13^{1,2,3,4,5},TRUE,TRUE),1,5)</f>
        <v>0</v>
      </c>
      <c r="J8" s="23" cm="1">
        <f t="array" ref="J8">INDEX(LINEST(Censal!D2:D13,Censal!C2:C13^{1,2,3,4,5,6},TRUE,TRUE),1,5)</f>
        <v>0</v>
      </c>
      <c r="K8" s="23"/>
      <c r="L8" s="23"/>
      <c r="M8" s="24"/>
    </row>
    <row r="9" spans="2:13" x14ac:dyDescent="0.45">
      <c r="B9" s="74"/>
      <c r="C9" s="75"/>
      <c r="D9" s="25" t="s">
        <v>21</v>
      </c>
      <c r="E9" s="23"/>
      <c r="F9" s="23"/>
      <c r="G9" s="23"/>
      <c r="H9" s="23"/>
      <c r="I9" s="23" cm="1">
        <f t="array" ref="I9">INDEX(LINEST(Censal!D2:D13,Censal!C2:C13^{1,2,3,4,5},TRUE,TRUE),1,6)</f>
        <v>-5081626218.396244</v>
      </c>
      <c r="J9" s="23" cm="1">
        <f t="array" ref="J9">INDEX(LINEST(Censal!D2:D13,Censal!C2:C13^{1,2,3,4,5,6},TRUE,TRUE),1,6)</f>
        <v>0</v>
      </c>
      <c r="K9" s="23"/>
      <c r="L9" s="23"/>
      <c r="M9" s="24"/>
    </row>
    <row r="10" spans="2:13" x14ac:dyDescent="0.45">
      <c r="B10" s="74"/>
      <c r="C10" s="75"/>
      <c r="D10" s="25" t="s">
        <v>22</v>
      </c>
      <c r="E10" s="23"/>
      <c r="F10" s="23"/>
      <c r="G10" s="23"/>
      <c r="H10" s="23"/>
      <c r="I10" s="23"/>
      <c r="J10" s="23" cm="1">
        <f t="array" ref="J10">INDEX(LINEST(Censal!D2:D13,Censal!C2:C13^{1,2,3,4,5,6},TRUE,TRUE),1,7)</f>
        <v>-1696184792.9391632</v>
      </c>
      <c r="K10" s="23"/>
      <c r="L10" s="23"/>
      <c r="M10" s="24"/>
    </row>
    <row r="11" spans="2:13" x14ac:dyDescent="0.45">
      <c r="B11" s="74"/>
      <c r="C11" s="75"/>
      <c r="D11" s="26" t="s">
        <v>7</v>
      </c>
      <c r="E11" s="27" cm="1">
        <f t="array" ref="E11">INDEX(LINEST(Censal!D2:D13,Censal!C2:C13^{1},TRUE,TRUE),3,1)</f>
        <v>0.88230341236863707</v>
      </c>
      <c r="F11" s="27" cm="1">
        <f t="array" ref="F11">INDEX(LINEST(Censal!D2:D13,Censal!C2:C13^{1,2},TRUE,TRUE),3,1)</f>
        <v>0.99488070541534346</v>
      </c>
      <c r="G11" s="27" cm="1">
        <f t="array" ref="G11">INDEX(LINEST(Censal!D2:D13,Censal!C2:C13^{1,2,3},TRUE,TRUE),3,1)</f>
        <v>0.99521662520047427</v>
      </c>
      <c r="H11" s="27" cm="1">
        <f t="array" ref="H11">INDEX(LINEST(Censal!D2:D13,Censal!C2:C13^{1,2,3,4},TRUE,TRUE),3,1)</f>
        <v>0.99666323610445851</v>
      </c>
      <c r="I11" s="27" cm="1">
        <f t="array" ref="I11">INDEX(LINEST(Censal!D2:D13,Censal!C2:C13^{1,2,3,4,5},TRUE,TRUE),3,1)</f>
        <v>0.99666727899912833</v>
      </c>
      <c r="J11" s="27" cm="1">
        <f t="array" ref="J11">INDEX(LINEST(Censal!D2:D13,Censal!C2:C13^{1,2,3,4,5,6},TRUE,TRUE),3,1)</f>
        <v>0.99667111574430856</v>
      </c>
      <c r="K11" s="27" cm="1">
        <f t="array" ref="K11">INDEX(LINEST(Censal!D2:D13,LN(Censal!C2:C13)^{1},TRUE,TRUE),3,1)</f>
        <v>0.87697001052459311</v>
      </c>
      <c r="L11" s="27" cm="1">
        <f t="array" ref="L11">INDEX(LINEST(LOG(Censal!D2:D13),LOG(Censal!C2:C13)^{1},TRUE,TRUE),3,1)</f>
        <v>0.98919296367239717</v>
      </c>
      <c r="M11" s="28" cm="1">
        <f t="array" ref="M11">INDEX(LINEST(LN(Censal!D2:D13),Censal!C2:C13^{1},TRUE,TRUE),3,1)</f>
        <v>0.98965462686572325</v>
      </c>
    </row>
    <row r="12" spans="2:13" ht="33" x14ac:dyDescent="0.45">
      <c r="B12" s="74"/>
      <c r="C12" s="75"/>
      <c r="D12" s="29" t="s">
        <v>23</v>
      </c>
      <c r="E12" s="30" t="str">
        <f>IF(E11=MAX($E$11:$M$11),"✓","")</f>
        <v/>
      </c>
      <c r="F12" s="30" t="str">
        <f t="shared" ref="F12:M12" si="0">IF(F11=MAX($E$11:$M$11),"✓","")</f>
        <v/>
      </c>
      <c r="G12" s="30" t="str">
        <f t="shared" si="0"/>
        <v/>
      </c>
      <c r="H12" s="30" t="str">
        <f t="shared" si="0"/>
        <v/>
      </c>
      <c r="I12" s="30" t="str">
        <f t="shared" si="0"/>
        <v/>
      </c>
      <c r="J12" s="30" t="str">
        <f t="shared" si="0"/>
        <v>✓</v>
      </c>
      <c r="K12" s="30" t="str">
        <f t="shared" si="0"/>
        <v/>
      </c>
      <c r="L12" s="30" t="str">
        <f t="shared" si="0"/>
        <v/>
      </c>
      <c r="M12" s="31" t="str">
        <f t="shared" si="0"/>
        <v/>
      </c>
    </row>
    <row r="13" spans="2:13" x14ac:dyDescent="0.45">
      <c r="B13" s="74"/>
      <c r="C13" s="75"/>
      <c r="D13" s="55" t="s">
        <v>59</v>
      </c>
      <c r="E13" s="57"/>
      <c r="F13" s="57"/>
      <c r="G13" s="57"/>
      <c r="H13" s="57" t="s">
        <v>60</v>
      </c>
      <c r="I13" s="57" t="s">
        <v>60</v>
      </c>
      <c r="J13" s="57" t="s">
        <v>60</v>
      </c>
      <c r="K13" s="57"/>
      <c r="L13" s="57"/>
      <c r="M13" s="58"/>
    </row>
    <row r="14" spans="2:13" ht="33" x14ac:dyDescent="0.45">
      <c r="B14" s="76"/>
      <c r="C14" s="77"/>
      <c r="D14" s="19" t="s">
        <v>24</v>
      </c>
      <c r="E14" s="21"/>
      <c r="F14" s="21" t="s">
        <v>25</v>
      </c>
      <c r="G14" s="21"/>
      <c r="H14" s="21"/>
      <c r="I14" s="21"/>
      <c r="J14" s="21"/>
      <c r="K14" s="21"/>
      <c r="L14" s="21"/>
      <c r="M14" s="22"/>
    </row>
    <row r="16" spans="2:13" x14ac:dyDescent="0.45">
      <c r="B16" s="2" t="s">
        <v>71</v>
      </c>
    </row>
    <row r="17" spans="2:13" x14ac:dyDescent="0.45">
      <c r="B17" s="2" t="s">
        <v>26</v>
      </c>
      <c r="C17" s="20">
        <v>5</v>
      </c>
      <c r="D17" s="2" t="s">
        <v>72</v>
      </c>
      <c r="M17" s="13"/>
    </row>
    <row r="18" spans="2:13" ht="33" x14ac:dyDescent="0.45">
      <c r="B18" s="16" t="s">
        <v>2</v>
      </c>
      <c r="C18" s="14" t="s">
        <v>13</v>
      </c>
      <c r="D18" s="14" t="s">
        <v>3</v>
      </c>
      <c r="E18" s="14" t="str">
        <f>E3</f>
        <v>Lineal</v>
      </c>
      <c r="F18" s="14" t="str">
        <f t="shared" ref="F18:M18" si="1">F3</f>
        <v>Polinomio grado 2</v>
      </c>
      <c r="G18" s="14" t="str">
        <f t="shared" si="1"/>
        <v>Polinomio grado 3</v>
      </c>
      <c r="H18" s="14" t="str">
        <f t="shared" si="1"/>
        <v>Polinomio grado 4</v>
      </c>
      <c r="I18" s="14" t="str">
        <f t="shared" si="1"/>
        <v>Polinomio grado 5</v>
      </c>
      <c r="J18" s="14" t="str">
        <f t="shared" si="1"/>
        <v>Polinomio grado 6</v>
      </c>
      <c r="K18" s="14" t="str">
        <f t="shared" si="1"/>
        <v>Logarítmica</v>
      </c>
      <c r="L18" s="14" t="str">
        <f t="shared" si="1"/>
        <v>Potencial</v>
      </c>
      <c r="M18" s="15" t="str">
        <f t="shared" si="1"/>
        <v>Exponencial</v>
      </c>
    </row>
    <row r="19" spans="2:13" x14ac:dyDescent="0.45">
      <c r="B19" s="56" t="s">
        <v>66</v>
      </c>
      <c r="C19" s="7" t="str">
        <f>Censal!$B$2</f>
        <v>Municipio</v>
      </c>
      <c r="D19" s="7">
        <f>MAX(Censal!C2:C103)+1</f>
        <v>2019</v>
      </c>
      <c r="E19" s="3">
        <f>ROUND($E$4*$D19+$E$5,0)</f>
        <v>108057</v>
      </c>
      <c r="F19" s="3">
        <f>ROUND($F$4*$D19^2+$F$5*$D19+$F$6,0)</f>
        <v>127918</v>
      </c>
      <c r="G19" s="3">
        <f>ROUND($G$4*$D19^3+$G$5*$D19^2+$G$6*$D19+$G$7,0)</f>
        <v>128902</v>
      </c>
      <c r="H19" s="3">
        <f>ROUND($H$4*$D19^4+$H$5*$D19^3+$H$6*$D19^2+$H$7*$D19+$H$8,0)</f>
        <v>127108</v>
      </c>
      <c r="I19" s="3">
        <f>ROUND($I$4*$D19^5+$I$5*$D19^4+$I$6*$D19^3+$I$7*$D19^2+$I$8*$D19+$I$9,0)</f>
        <v>127087</v>
      </c>
      <c r="J19" s="3">
        <f>ROUND($J$4*$D19^6+$J$5*$D19^5+$J$6*$D19^4+$J$7*$D19^3+$J$8*$D19^2+$J$9*$D19+$J$10,0)</f>
        <v>127066</v>
      </c>
      <c r="K19" s="3">
        <f>ROUND($K$4*LN(D19)+$K$5,0)</f>
        <v>107439</v>
      </c>
      <c r="L19" s="3">
        <f>ROUND(10^$L$5*$D19^$L$4,0)</f>
        <v>135311</v>
      </c>
      <c r="M19" s="4">
        <f>ROUND($M$5*EXP($M$4*$D19),0)</f>
        <v>136886</v>
      </c>
    </row>
    <row r="20" spans="2:13" x14ac:dyDescent="0.45">
      <c r="B20" s="17" t="str">
        <f>B19</f>
        <v>Proyectada</v>
      </c>
      <c r="C20" s="7" t="str">
        <f>Censal!$B$2</f>
        <v>Municipio</v>
      </c>
      <c r="D20" s="7">
        <f t="shared" ref="D20:D29" si="2">D19+$C$17</f>
        <v>2024</v>
      </c>
      <c r="E20" s="3">
        <f t="shared" ref="E20:E29" si="3">ROUND($E$4*$D20+$E$5,0)</f>
        <v>113646</v>
      </c>
      <c r="F20" s="3">
        <f>ROUND($F$4*$D20^2+$F$5*$D20+$F$6,0)</f>
        <v>140346</v>
      </c>
      <c r="G20" s="3">
        <f>ROUND($G$4*$D20^3+$G$5*$D20^2+$G$6*$D20+$G$7,0)</f>
        <v>142142</v>
      </c>
      <c r="H20" s="3">
        <f t="shared" ref="H20:H29" si="4">ROUND($H$4*$D20^4+$H$5*$D20^3+$H$6*$D20^2+$H$7*$D20+$H$8,0)</f>
        <v>136758</v>
      </c>
      <c r="I20" s="3">
        <f t="shared" ref="I20:I29" si="5">ROUND($I$4*$D20^5+$I$5*$D20^4+$I$6*$D20^3+$I$7*$D20^2+$I$8*$D20+$I$9,0)</f>
        <v>136659</v>
      </c>
      <c r="J20" s="3">
        <f t="shared" ref="J20:J29" si="6">ROUND($J$4*$D20^6+$J$5*$D20^5+$J$6*$D20^4+$J$7*$D20^3+$J$8*$D20^2+$J$9*$D20+$J$10,0)</f>
        <v>136558</v>
      </c>
      <c r="K20" s="3">
        <f t="shared" ref="K20:K29" si="7">ROUND($K$4*LN(D20)+$K$5,0)</f>
        <v>112854</v>
      </c>
      <c r="L20" s="3">
        <f t="shared" ref="L20:L29" si="8">ROUND(10^$L$5*$D20^$L$4,0)</f>
        <v>154446</v>
      </c>
      <c r="M20" s="4">
        <f t="shared" ref="M20:M29" si="9">ROUND($M$5*EXP($M$4*$D20),0)</f>
        <v>156847</v>
      </c>
    </row>
    <row r="21" spans="2:13" x14ac:dyDescent="0.45">
      <c r="B21" s="17" t="str">
        <f t="shared" ref="B21:B29" si="10">B20</f>
        <v>Proyectada</v>
      </c>
      <c r="C21" s="7" t="str">
        <f>Censal!$B$2</f>
        <v>Municipio</v>
      </c>
      <c r="D21" s="7">
        <f t="shared" si="2"/>
        <v>2029</v>
      </c>
      <c r="E21" s="3">
        <f t="shared" si="3"/>
        <v>119235</v>
      </c>
      <c r="F21" s="3">
        <f t="shared" ref="F21:F29" si="11">ROUND($F$4*$D21^2+$F$5*$D21+$F$6,0)</f>
        <v>153383</v>
      </c>
      <c r="G21" s="3">
        <f>ROUND($G$4*$D21^3+$G$5*$D21^2+$G$6*$D21+$G$7,0)</f>
        <v>156177</v>
      </c>
      <c r="H21" s="3">
        <f t="shared" si="4"/>
        <v>145577</v>
      </c>
      <c r="I21" s="3">
        <f t="shared" si="5"/>
        <v>145345</v>
      </c>
      <c r="J21" s="3">
        <f t="shared" si="6"/>
        <v>145108</v>
      </c>
      <c r="K21" s="3">
        <f t="shared" si="7"/>
        <v>118257</v>
      </c>
      <c r="L21" s="3">
        <f t="shared" si="8"/>
        <v>176229</v>
      </c>
      <c r="M21" s="4">
        <f t="shared" si="9"/>
        <v>179718</v>
      </c>
    </row>
    <row r="22" spans="2:13" x14ac:dyDescent="0.45">
      <c r="B22" s="17" t="str">
        <f t="shared" si="10"/>
        <v>Proyectada</v>
      </c>
      <c r="C22" s="7" t="str">
        <f>Censal!$B$2</f>
        <v>Municipio</v>
      </c>
      <c r="D22" s="7">
        <f t="shared" si="2"/>
        <v>2034</v>
      </c>
      <c r="E22" s="3">
        <f t="shared" si="3"/>
        <v>124824</v>
      </c>
      <c r="F22" s="3">
        <f>ROUND($F$4*$D22^2+$F$5*$D22+$F$6,0)</f>
        <v>167026</v>
      </c>
      <c r="G22" s="3">
        <f>ROUND($G$4*$D22^3+$G$5*$D22^2+$G$6*$D22+$G$7,0)</f>
        <v>171024</v>
      </c>
      <c r="H22" s="3">
        <f t="shared" si="4"/>
        <v>153256</v>
      </c>
      <c r="I22" s="3">
        <f t="shared" si="5"/>
        <v>152816</v>
      </c>
      <c r="J22" s="3">
        <f t="shared" si="6"/>
        <v>152365</v>
      </c>
      <c r="K22" s="3">
        <f t="shared" si="7"/>
        <v>123646</v>
      </c>
      <c r="L22" s="3">
        <f t="shared" si="8"/>
        <v>201019</v>
      </c>
      <c r="M22" s="4">
        <f t="shared" si="9"/>
        <v>205925</v>
      </c>
    </row>
    <row r="23" spans="2:13" x14ac:dyDescent="0.45">
      <c r="B23" s="17" t="str">
        <f t="shared" si="10"/>
        <v>Proyectada</v>
      </c>
      <c r="C23" s="7" t="str">
        <f>Censal!$B$2</f>
        <v>Municipio</v>
      </c>
      <c r="D23" s="7">
        <f t="shared" si="2"/>
        <v>2039</v>
      </c>
      <c r="E23" s="3">
        <f t="shared" si="3"/>
        <v>130413</v>
      </c>
      <c r="F23" s="3">
        <f>ROUND($F$4*$D23^2+$F$5*$D23+$F$6,0)</f>
        <v>181278</v>
      </c>
      <c r="G23" s="3">
        <f t="shared" ref="G23:G29" si="12">ROUND($G$4*$D23^3+$G$5*$D23^2+$G$6*$D23+$G$7,0)</f>
        <v>186698</v>
      </c>
      <c r="H23" s="3">
        <f t="shared" si="4"/>
        <v>159460</v>
      </c>
      <c r="I23" s="3">
        <f t="shared" si="5"/>
        <v>158714</v>
      </c>
      <c r="J23" s="3">
        <f t="shared" si="6"/>
        <v>157947</v>
      </c>
      <c r="K23" s="3">
        <f t="shared" si="7"/>
        <v>129021</v>
      </c>
      <c r="L23" s="3">
        <f t="shared" si="8"/>
        <v>229222</v>
      </c>
      <c r="M23" s="4">
        <f t="shared" si="9"/>
        <v>235953</v>
      </c>
    </row>
    <row r="24" spans="2:13" x14ac:dyDescent="0.45">
      <c r="B24" s="17" t="str">
        <f t="shared" si="10"/>
        <v>Proyectada</v>
      </c>
      <c r="C24" s="7" t="str">
        <f>Censal!$B$2</f>
        <v>Municipio</v>
      </c>
      <c r="D24" s="7">
        <f t="shared" si="2"/>
        <v>2044</v>
      </c>
      <c r="E24" s="3">
        <f t="shared" si="3"/>
        <v>136002</v>
      </c>
      <c r="F24" s="3">
        <f t="shared" si="11"/>
        <v>196136</v>
      </c>
      <c r="G24" s="3">
        <f t="shared" si="12"/>
        <v>203215</v>
      </c>
      <c r="H24" s="3">
        <f t="shared" si="4"/>
        <v>163828</v>
      </c>
      <c r="I24" s="3">
        <f t="shared" si="5"/>
        <v>162651</v>
      </c>
      <c r="J24" s="3">
        <f t="shared" si="6"/>
        <v>161440</v>
      </c>
      <c r="K24" s="3">
        <f t="shared" si="7"/>
        <v>134384</v>
      </c>
      <c r="L24" s="3">
        <f t="shared" si="8"/>
        <v>261299</v>
      </c>
      <c r="M24" s="4">
        <f t="shared" si="9"/>
        <v>270359</v>
      </c>
    </row>
    <row r="25" spans="2:13" x14ac:dyDescent="0.45">
      <c r="B25" s="17" t="str">
        <f t="shared" si="10"/>
        <v>Proyectada</v>
      </c>
      <c r="C25" s="7" t="str">
        <f>Censal!$B$2</f>
        <v>Municipio</v>
      </c>
      <c r="D25" s="7">
        <f t="shared" si="2"/>
        <v>2049</v>
      </c>
      <c r="E25" s="3">
        <f t="shared" si="3"/>
        <v>141591</v>
      </c>
      <c r="F25" s="3">
        <f t="shared" si="11"/>
        <v>211602</v>
      </c>
      <c r="G25" s="3">
        <f t="shared" si="12"/>
        <v>220589</v>
      </c>
      <c r="H25" s="3">
        <f t="shared" si="4"/>
        <v>165974</v>
      </c>
      <c r="I25" s="3">
        <f t="shared" si="5"/>
        <v>164213</v>
      </c>
      <c r="J25" s="3">
        <f t="shared" si="6"/>
        <v>162395</v>
      </c>
      <c r="K25" s="3">
        <f t="shared" si="7"/>
        <v>139733</v>
      </c>
      <c r="L25" s="3">
        <f t="shared" si="8"/>
        <v>297768</v>
      </c>
      <c r="M25" s="4">
        <f t="shared" si="9"/>
        <v>309783</v>
      </c>
    </row>
    <row r="26" spans="2:13" x14ac:dyDescent="0.45">
      <c r="B26" s="17" t="str">
        <f t="shared" si="10"/>
        <v>Proyectada</v>
      </c>
      <c r="C26" s="7" t="str">
        <f>Censal!$B$2</f>
        <v>Municipio</v>
      </c>
      <c r="D26" s="7">
        <f t="shared" si="2"/>
        <v>2054</v>
      </c>
      <c r="E26" s="3">
        <f t="shared" si="3"/>
        <v>147180</v>
      </c>
      <c r="F26" s="3">
        <f t="shared" si="11"/>
        <v>227676</v>
      </c>
      <c r="G26" s="3">
        <f t="shared" si="12"/>
        <v>238837</v>
      </c>
      <c r="H26" s="3">
        <f t="shared" si="4"/>
        <v>165486</v>
      </c>
      <c r="I26" s="3">
        <f t="shared" si="5"/>
        <v>162951</v>
      </c>
      <c r="J26" s="3">
        <f t="shared" si="6"/>
        <v>160328</v>
      </c>
      <c r="K26" s="3">
        <f t="shared" si="7"/>
        <v>145070</v>
      </c>
      <c r="L26" s="3">
        <f t="shared" si="8"/>
        <v>339220</v>
      </c>
      <c r="M26" s="4">
        <f t="shared" si="9"/>
        <v>354956</v>
      </c>
    </row>
    <row r="27" spans="2:13" x14ac:dyDescent="0.45">
      <c r="B27" s="17" t="str">
        <f t="shared" si="10"/>
        <v>Proyectada</v>
      </c>
      <c r="C27" s="7" t="str">
        <f>Censal!$B$2</f>
        <v>Municipio</v>
      </c>
      <c r="D27" s="7">
        <f t="shared" si="2"/>
        <v>2059</v>
      </c>
      <c r="E27" s="3">
        <f t="shared" si="3"/>
        <v>152769</v>
      </c>
      <c r="F27" s="3">
        <f t="shared" si="11"/>
        <v>244356</v>
      </c>
      <c r="G27" s="3">
        <f t="shared" si="12"/>
        <v>257974</v>
      </c>
      <c r="H27" s="3">
        <f t="shared" si="4"/>
        <v>161927</v>
      </c>
      <c r="I27" s="3">
        <f t="shared" si="5"/>
        <v>158390</v>
      </c>
      <c r="J27" s="3">
        <f t="shared" si="6"/>
        <v>154720</v>
      </c>
      <c r="K27" s="3">
        <f t="shared" si="7"/>
        <v>150393</v>
      </c>
      <c r="L27" s="3">
        <f t="shared" si="8"/>
        <v>386319</v>
      </c>
      <c r="M27" s="4">
        <f t="shared" si="9"/>
        <v>406716</v>
      </c>
    </row>
    <row r="28" spans="2:13" x14ac:dyDescent="0.45">
      <c r="B28" s="17" t="str">
        <f t="shared" si="10"/>
        <v>Proyectada</v>
      </c>
      <c r="C28" s="7" t="str">
        <f>Censal!$B$2</f>
        <v>Municipio</v>
      </c>
      <c r="D28" s="7">
        <f t="shared" si="2"/>
        <v>2064</v>
      </c>
      <c r="E28" s="3">
        <f t="shared" si="3"/>
        <v>158358</v>
      </c>
      <c r="F28" s="3">
        <f t="shared" si="11"/>
        <v>261645</v>
      </c>
      <c r="G28" s="3">
        <f t="shared" si="12"/>
        <v>278015</v>
      </c>
      <c r="H28" s="3">
        <f t="shared" si="4"/>
        <v>154835</v>
      </c>
      <c r="I28" s="3">
        <f t="shared" si="5"/>
        <v>150023</v>
      </c>
      <c r="J28" s="3">
        <f t="shared" si="6"/>
        <v>145018</v>
      </c>
      <c r="K28" s="3">
        <f t="shared" si="7"/>
        <v>155704</v>
      </c>
      <c r="L28" s="3">
        <f t="shared" si="8"/>
        <v>439820</v>
      </c>
      <c r="M28" s="4">
        <f t="shared" si="9"/>
        <v>466023</v>
      </c>
    </row>
    <row r="29" spans="2:13" x14ac:dyDescent="0.45">
      <c r="B29" s="18" t="str">
        <f t="shared" si="10"/>
        <v>Proyectada</v>
      </c>
      <c r="C29" s="8" t="str">
        <f>Censal!$B$2</f>
        <v>Municipio</v>
      </c>
      <c r="D29" s="8">
        <f t="shared" si="2"/>
        <v>2069</v>
      </c>
      <c r="E29" s="5">
        <f t="shared" si="3"/>
        <v>163947</v>
      </c>
      <c r="F29" s="5">
        <f t="shared" si="11"/>
        <v>279540</v>
      </c>
      <c r="G29" s="5">
        <f t="shared" si="12"/>
        <v>298976</v>
      </c>
      <c r="H29" s="5">
        <f t="shared" si="4"/>
        <v>143721</v>
      </c>
      <c r="I29" s="5">
        <f t="shared" si="5"/>
        <v>137312</v>
      </c>
      <c r="J29" s="5">
        <f t="shared" si="6"/>
        <v>130632</v>
      </c>
      <c r="K29" s="5">
        <f t="shared" si="7"/>
        <v>161001</v>
      </c>
      <c r="L29" s="5">
        <f t="shared" si="8"/>
        <v>500572</v>
      </c>
      <c r="M29" s="6">
        <f t="shared" si="9"/>
        <v>533979</v>
      </c>
    </row>
    <row r="30" spans="2:13" x14ac:dyDescent="0.45">
      <c r="D30" s="13"/>
    </row>
    <row r="31" spans="2:13" x14ac:dyDescent="0.45">
      <c r="B31" s="2" t="s">
        <v>64</v>
      </c>
      <c r="D31" s="13"/>
    </row>
    <row r="32" spans="2:13" x14ac:dyDescent="0.45">
      <c r="B32" s="2" t="str">
        <f>_xlfn.CONCAT(Censal!A2," - Población censal ",Censal!B2," y población proyectada a ",D29-D19," años con diferentes tendencias")</f>
        <v>DANE - Población censal Municipio y población proyectada a 50 años con diferentes tendencias</v>
      </c>
      <c r="D32" s="13"/>
    </row>
    <row r="33" spans="2:4" x14ac:dyDescent="0.45">
      <c r="B33" s="2" t="str">
        <f>_xlfn.CONCAT(Censal!A2," - Población censal ",Censal!B2," y población proyectada a ",D29-D19," años para el ajuste seleccionado")</f>
        <v>DANE - Población censal Municipio y población proyectada a 50 años para el ajuste seleccionado</v>
      </c>
      <c r="D33" s="13"/>
    </row>
    <row r="34" spans="2:4" x14ac:dyDescent="0.45">
      <c r="B34" s="2" t="str">
        <f>_xlfn.CONCAT(Censal!A2," - Población censal municipal")</f>
        <v>DANE - Población censal municipal</v>
      </c>
      <c r="D34" s="13"/>
    </row>
    <row r="35" spans="2:4" x14ac:dyDescent="0.45">
      <c r="D35" s="13"/>
    </row>
    <row r="36" spans="2:4" x14ac:dyDescent="0.45">
      <c r="D36" s="13"/>
    </row>
    <row r="37" spans="2:4" x14ac:dyDescent="0.45">
      <c r="D37" s="13"/>
    </row>
    <row r="38" spans="2:4" x14ac:dyDescent="0.45">
      <c r="D38" s="13"/>
    </row>
  </sheetData>
  <mergeCells count="1">
    <mergeCell ref="B3:C14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DC757-E655-4AB9-91FA-E1AE22FE7E6A}">
  <dimension ref="A1:D23"/>
  <sheetViews>
    <sheetView showGridLines="0" zoomScale="145" zoomScaleNormal="145" workbookViewId="0">
      <pane ySplit="1" topLeftCell="A2" activePane="bottomLeft" state="frozen"/>
      <selection pane="bottomLeft" activeCell="H8" sqref="H8"/>
    </sheetView>
  </sheetViews>
  <sheetFormatPr defaultColWidth="9.19921875" defaultRowHeight="16.5" x14ac:dyDescent="0.45"/>
  <cols>
    <col min="1" max="1" width="14.19921875" style="2" customWidth="1"/>
    <col min="2" max="2" width="11.73046875" style="2" customWidth="1"/>
    <col min="3" max="3" width="8.33203125" style="2" customWidth="1"/>
    <col min="4" max="4" width="10.73046875" style="2" customWidth="1"/>
    <col min="5" max="16384" width="9.19921875" style="2"/>
  </cols>
  <sheetData>
    <row r="1" spans="1:4" x14ac:dyDescent="0.45">
      <c r="A1" s="10" t="str">
        <f>Censal!A1</f>
        <v>Fuente</v>
      </c>
      <c r="B1" s="10" t="str">
        <f>Censal!B1</f>
        <v>Zona</v>
      </c>
      <c r="C1" s="10" t="str">
        <f>Censal!C1</f>
        <v>Fecha</v>
      </c>
      <c r="D1" s="10" t="str">
        <f>Censal!D1</f>
        <v>PTotal</v>
      </c>
    </row>
    <row r="2" spans="1:4" x14ac:dyDescent="0.45">
      <c r="A2" s="2" t="str">
        <f>Censal!A2</f>
        <v>DANE</v>
      </c>
      <c r="B2" s="2" t="str">
        <f>Censal!B2</f>
        <v>Municipio</v>
      </c>
      <c r="C2" s="2">
        <f>Censal!C2</f>
        <v>1905</v>
      </c>
      <c r="D2" s="2">
        <f>Censal!D2</f>
        <v>7108</v>
      </c>
    </row>
    <row r="3" spans="1:4" x14ac:dyDescent="0.45">
      <c r="A3" s="2" t="str">
        <f>Censal!A3</f>
        <v>DANE</v>
      </c>
      <c r="B3" s="2" t="str">
        <f>Censal!B3</f>
        <v>Municipio</v>
      </c>
      <c r="C3" s="2">
        <f>Censal!C3</f>
        <v>1928</v>
      </c>
      <c r="D3" s="2">
        <f>Censal!D3</f>
        <v>11480</v>
      </c>
    </row>
    <row r="4" spans="1:4" x14ac:dyDescent="0.45">
      <c r="A4" s="2" t="str">
        <f>Censal!A4</f>
        <v>DANE</v>
      </c>
      <c r="B4" s="2" t="str">
        <f>Censal!B4</f>
        <v>Municipio</v>
      </c>
      <c r="C4" s="2">
        <f>Censal!C4</f>
        <v>1938</v>
      </c>
      <c r="D4" s="2">
        <f>Censal!D4</f>
        <v>12273</v>
      </c>
    </row>
    <row r="5" spans="1:4" x14ac:dyDescent="0.45">
      <c r="A5" s="2" t="str">
        <f>Censal!A5</f>
        <v>DANE</v>
      </c>
      <c r="B5" s="2" t="str">
        <f>Censal!B5</f>
        <v>Municipio</v>
      </c>
      <c r="C5" s="2">
        <f>Censal!C5</f>
        <v>1951</v>
      </c>
      <c r="D5" s="2">
        <f>Censal!D5</f>
        <v>20628</v>
      </c>
    </row>
    <row r="6" spans="1:4" x14ac:dyDescent="0.45">
      <c r="A6" s="2" t="str">
        <f>Censal!A6</f>
        <v>DANE</v>
      </c>
      <c r="B6" s="2" t="str">
        <f>Censal!B6</f>
        <v>Municipio</v>
      </c>
      <c r="C6" s="2">
        <f>Censal!C6</f>
        <v>1964</v>
      </c>
      <c r="D6" s="2">
        <f>Censal!D6</f>
        <v>27775</v>
      </c>
    </row>
    <row r="7" spans="1:4" x14ac:dyDescent="0.45">
      <c r="A7" s="2" t="str">
        <f>Censal!A7</f>
        <v>DANE</v>
      </c>
      <c r="B7" s="2" t="str">
        <f>Censal!B7</f>
        <v>Municipio</v>
      </c>
      <c r="C7" s="2">
        <f>Censal!C7</f>
        <v>1973</v>
      </c>
      <c r="D7" s="2">
        <f>Censal!D7</f>
        <v>39836</v>
      </c>
    </row>
    <row r="8" spans="1:4" x14ac:dyDescent="0.45">
      <c r="A8" s="2" t="str">
        <f>Censal!A8</f>
        <v>DANE</v>
      </c>
      <c r="B8" s="2" t="str">
        <f>Censal!B8</f>
        <v>Municipio</v>
      </c>
      <c r="C8" s="2">
        <f>Censal!C8</f>
        <v>1985</v>
      </c>
      <c r="D8" s="2">
        <f>Censal!D8</f>
        <v>60202</v>
      </c>
    </row>
    <row r="9" spans="1:4" x14ac:dyDescent="0.45">
      <c r="A9" s="2" t="str">
        <f>Censal!A9</f>
        <v>DANE</v>
      </c>
      <c r="B9" s="2" t="str">
        <f>Censal!B9</f>
        <v>Municipio</v>
      </c>
      <c r="C9" s="2">
        <f>Censal!C9</f>
        <v>1993</v>
      </c>
      <c r="D9" s="2">
        <f>Censal!D9</f>
        <v>69695</v>
      </c>
    </row>
    <row r="10" spans="1:4" x14ac:dyDescent="0.45">
      <c r="A10" s="2" t="str">
        <f>Censal!A10</f>
        <v>DANE</v>
      </c>
      <c r="B10" s="2" t="str">
        <f>Censal!B10</f>
        <v>Municipio</v>
      </c>
      <c r="C10" s="2">
        <f>Censal!C10</f>
        <v>1995</v>
      </c>
      <c r="D10" s="2">
        <f>Censal!D10</f>
        <v>78923</v>
      </c>
    </row>
    <row r="11" spans="1:4" x14ac:dyDescent="0.45">
      <c r="A11" s="2" t="str">
        <f>Censal!A11</f>
        <v>DANE</v>
      </c>
      <c r="B11" s="2" t="str">
        <f>Censal!B11</f>
        <v>Municipio</v>
      </c>
      <c r="C11" s="2">
        <f>Censal!C11</f>
        <v>2005</v>
      </c>
      <c r="D11" s="2">
        <f>Censal!D11</f>
        <v>100038</v>
      </c>
    </row>
    <row r="12" spans="1:4" x14ac:dyDescent="0.45">
      <c r="A12" s="2" t="str">
        <f>Censal!A13</f>
        <v>DANE</v>
      </c>
      <c r="B12" s="2" t="str">
        <f>Censal!B13</f>
        <v>Municipio</v>
      </c>
      <c r="C12" s="2">
        <f>Censal!C13</f>
        <v>2018</v>
      </c>
      <c r="D12" s="2">
        <f>Censal!D13</f>
        <v>128968</v>
      </c>
    </row>
    <row r="13" spans="1:4" x14ac:dyDescent="0.45">
      <c r="A13" s="2" t="str">
        <f>ProyectadaTotal!B19</f>
        <v>Proyectada</v>
      </c>
      <c r="B13" s="2" t="str">
        <f>ProyectadaTotal!C19</f>
        <v>Municipio</v>
      </c>
      <c r="C13" s="2">
        <f>ProyectadaTotal!D19</f>
        <v>2019</v>
      </c>
      <c r="D13" s="2">
        <f>ProyectadaTotal!F19</f>
        <v>127918</v>
      </c>
    </row>
    <row r="14" spans="1:4" x14ac:dyDescent="0.45">
      <c r="A14" s="2" t="str">
        <f>ProyectadaTotal!B20</f>
        <v>Proyectada</v>
      </c>
      <c r="B14" s="2" t="str">
        <f>ProyectadaTotal!C20</f>
        <v>Municipio</v>
      </c>
      <c r="C14" s="2">
        <f>ProyectadaTotal!D20</f>
        <v>2024</v>
      </c>
      <c r="D14" s="2">
        <f>ProyectadaTotal!F20</f>
        <v>140346</v>
      </c>
    </row>
    <row r="15" spans="1:4" x14ac:dyDescent="0.45">
      <c r="A15" s="2" t="str">
        <f>ProyectadaTotal!B21</f>
        <v>Proyectada</v>
      </c>
      <c r="B15" s="2" t="str">
        <f>ProyectadaTotal!C21</f>
        <v>Municipio</v>
      </c>
      <c r="C15" s="2">
        <f>ProyectadaTotal!D21</f>
        <v>2029</v>
      </c>
      <c r="D15" s="2">
        <f>ProyectadaTotal!F21</f>
        <v>153383</v>
      </c>
    </row>
    <row r="16" spans="1:4" x14ac:dyDescent="0.45">
      <c r="A16" s="2" t="str">
        <f>ProyectadaTotal!B22</f>
        <v>Proyectada</v>
      </c>
      <c r="B16" s="2" t="str">
        <f>ProyectadaTotal!C22</f>
        <v>Municipio</v>
      </c>
      <c r="C16" s="2">
        <f>ProyectadaTotal!D22</f>
        <v>2034</v>
      </c>
      <c r="D16" s="2">
        <f>ProyectadaTotal!F22</f>
        <v>167026</v>
      </c>
    </row>
    <row r="17" spans="1:4" x14ac:dyDescent="0.45">
      <c r="A17" s="2" t="str">
        <f>ProyectadaTotal!B23</f>
        <v>Proyectada</v>
      </c>
      <c r="B17" s="2" t="str">
        <f>ProyectadaTotal!C23</f>
        <v>Municipio</v>
      </c>
      <c r="C17" s="2">
        <f>ProyectadaTotal!D23</f>
        <v>2039</v>
      </c>
      <c r="D17" s="2">
        <f>ProyectadaTotal!F23</f>
        <v>181278</v>
      </c>
    </row>
    <row r="18" spans="1:4" x14ac:dyDescent="0.45">
      <c r="A18" s="2" t="str">
        <f>ProyectadaTotal!B24</f>
        <v>Proyectada</v>
      </c>
      <c r="B18" s="2" t="str">
        <f>ProyectadaTotal!C24</f>
        <v>Municipio</v>
      </c>
      <c r="C18" s="2">
        <f>ProyectadaTotal!D24</f>
        <v>2044</v>
      </c>
      <c r="D18" s="2">
        <f>ProyectadaTotal!F24</f>
        <v>196136</v>
      </c>
    </row>
    <row r="19" spans="1:4" x14ac:dyDescent="0.45">
      <c r="A19" s="2" t="str">
        <f>ProyectadaTotal!B25</f>
        <v>Proyectada</v>
      </c>
      <c r="B19" s="2" t="str">
        <f>ProyectadaTotal!C25</f>
        <v>Municipio</v>
      </c>
      <c r="C19" s="2">
        <f>ProyectadaTotal!D25</f>
        <v>2049</v>
      </c>
      <c r="D19" s="2">
        <f>ProyectadaTotal!F25</f>
        <v>211602</v>
      </c>
    </row>
    <row r="20" spans="1:4" x14ac:dyDescent="0.45">
      <c r="A20" s="2" t="str">
        <f>ProyectadaTotal!B26</f>
        <v>Proyectada</v>
      </c>
      <c r="B20" s="2" t="str">
        <f>ProyectadaTotal!C26</f>
        <v>Municipio</v>
      </c>
      <c r="C20" s="2">
        <f>ProyectadaTotal!D26</f>
        <v>2054</v>
      </c>
      <c r="D20" s="2">
        <f>ProyectadaTotal!F26</f>
        <v>227676</v>
      </c>
    </row>
    <row r="21" spans="1:4" x14ac:dyDescent="0.45">
      <c r="A21" s="2" t="str">
        <f>ProyectadaTotal!B27</f>
        <v>Proyectada</v>
      </c>
      <c r="B21" s="2" t="str">
        <f>ProyectadaTotal!C27</f>
        <v>Municipio</v>
      </c>
      <c r="C21" s="2">
        <f>ProyectadaTotal!D27</f>
        <v>2059</v>
      </c>
      <c r="D21" s="2">
        <f>ProyectadaTotal!F27</f>
        <v>244356</v>
      </c>
    </row>
    <row r="22" spans="1:4" x14ac:dyDescent="0.45">
      <c r="A22" s="2" t="str">
        <f>ProyectadaTotal!B28</f>
        <v>Proyectada</v>
      </c>
      <c r="B22" s="2" t="str">
        <f>ProyectadaTotal!C28</f>
        <v>Municipio</v>
      </c>
      <c r="C22" s="2">
        <f>ProyectadaTotal!D28</f>
        <v>2064</v>
      </c>
      <c r="D22" s="2">
        <f>ProyectadaTotal!F28</f>
        <v>261645</v>
      </c>
    </row>
    <row r="23" spans="1:4" x14ac:dyDescent="0.45">
      <c r="A23" s="2" t="str">
        <f>ProyectadaTotal!B29</f>
        <v>Proyectada</v>
      </c>
      <c r="B23" s="2" t="str">
        <f>ProyectadaTotal!C29</f>
        <v>Municipio</v>
      </c>
      <c r="C23" s="2">
        <f>ProyectadaTotal!D29</f>
        <v>2069</v>
      </c>
      <c r="D23" s="2">
        <f>ProyectadaTotal!F29</f>
        <v>279540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3</vt:i4>
      </vt:variant>
    </vt:vector>
  </HeadingPairs>
  <TitlesOfParts>
    <vt:vector size="7" baseType="lpstr">
      <vt:lpstr>Censal</vt:lpstr>
      <vt:lpstr>DinamicaDemografica</vt:lpstr>
      <vt:lpstr>ProyectadaTotal</vt:lpstr>
      <vt:lpstr>PoblacionGIS</vt:lpstr>
      <vt:lpstr>CensalChart</vt:lpstr>
      <vt:lpstr>ProyectadaTotalChart</vt:lpstr>
      <vt:lpstr>PoblacionGISChart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WILLIAM RICARDO AGUILAR PIÑA</cp:lastModifiedBy>
  <dcterms:created xsi:type="dcterms:W3CDTF">2015-06-05T18:17:20Z</dcterms:created>
  <dcterms:modified xsi:type="dcterms:W3CDTF">2026-03-30T16:11:34Z</dcterms:modified>
</cp:coreProperties>
</file>